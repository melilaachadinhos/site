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d40c278ea64228" /></Relationships>
</file>

<file path=xl/workbook.xml><?xml version="1.0" encoding="utf-8"?>
<x:workbook xmlns:x="http://schemas.openxmlformats.org/spreadsheetml/2006/main">
  <x:sheets>
    <x:sheet xmlns:r="http://schemas.openxmlformats.org/officeDocument/2006/relationships" name="Painel" sheetId="1" r:id="Re160b3956feb4589"/>
    <x:sheet xmlns:r="http://schemas.openxmlformats.org/officeDocument/2006/relationships" name="Config" sheetId="2" r:id="Rc555cd92fe83486a"/>
    <x:sheet xmlns:r="http://schemas.openxmlformats.org/officeDocument/2006/relationships" name="Produtos" sheetId="3" r:id="Rd96ce248925849fb"/>
    <x:sheet xmlns:r="http://schemas.openxmlformats.org/officeDocument/2006/relationships" name="Buscas AliExpress" sheetId="4" r:id="Ra43e0c3801234b45"/>
    <x:sheet xmlns:r="http://schemas.openxmlformats.org/officeDocument/2006/relationships" name="Automacao" sheetId="5" r:id="Rbb68f035094442a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quot;R$&quot; #,##0.00"/>
    <x:numFmt numFmtId="202" formatCode="0%"/>
    <x:numFmt numFmtId="203" formatCode="yyyy-mm-dd"/>
  </x:numFmts>
  <x:fonts count="5">
    <x:font>
      <x:sz val="11"/>
      <x:name val="Carlito"/>
    </x:font>
    <x:font>
      <x:b/>
      <x:sz val="16"/>
      <x:color rgb="FFFFFFFF"/>
      <x:name val="Carlito"/>
    </x:font>
    <x:font>
      <x:sz val="11"/>
      <x:color rgb="FF151827"/>
      <x:name val="Carlito"/>
    </x:font>
    <x:font>
      <x:b/>
      <x:sz val="11"/>
      <x:color rgb="FFFFFFFF"/>
      <x:name val="Carlito"/>
    </x:font>
    <x:font>
      <x:sz val="9"/>
      <x:color rgb="FF151827"/>
      <x:name val="Consolas"/>
    </x:font>
  </x:fonts>
  <x:fills count="6">
    <x:fill>
      <x:patternFill patternType="none"/>
    </x:fill>
    <x:fill>
      <x:patternFill patternType="gray125"/>
    </x:fill>
    <x:fill>
      <x:patternFill patternType="solid">
        <x:fgColor rgb="FF151827"/>
      </x:patternFill>
    </x:fill>
    <x:fill>
      <x:patternFill patternType="solid">
        <x:fgColor rgb="FFF5F7FB"/>
      </x:patternFill>
    </x:fill>
    <x:fill>
      <x:patternFill patternType="solid">
        <x:fgColor rgb="FF2F62D6"/>
      </x:patternFill>
    </x:fill>
    <x:fill>
      <x:patternFill patternType="solid">
        <x:fgColor rgb="FFFFF6D6"/>
      </x:patternFill>
    </x:fill>
  </x:fills>
  <x:borders count="2">
    <x:border/>
    <x:border>
      <x:left style="thin">
        <x:color rgb="FFDDE5EE"/>
      </x:left>
      <x:right style="thin">
        <x:color rgb="FFDDE5EE"/>
      </x:right>
      <x:top style="thin">
        <x:color rgb="FFDDE5EE"/>
      </x:top>
      <x:bottom style="thin">
        <x:color rgb="FFDDE5EE"/>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0" fontId="3" fillId="4" borderId="1" xfId="0" applyNumberFormat="1" applyFont="1" applyFill="1" applyBorder="1" applyAlignment="1">
      <x:alignment wrapText="1"/>
    </x:xf>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2" fillId="3" borderId="1" xfId="0" applyNumberFormat="1" applyFont="1" applyFill="1" applyBorder="1" applyAlignment="1">
      <x:alignment wrapText="1"/>
    </x:xf>
    <x:xf numFmtId="202" fontId="0" fillId="0" borderId="0" xfId="0" applyNumberFormat="1" applyFont="1" applyFill="1" applyBorder="1"/>
    <x:xf numFmtId="203" fontId="0" fillId="0" borderId="0" xfId="0" applyNumberFormat="1" applyFont="1" applyFill="1" applyBorder="1"/>
    <x:xf numFmtId="202" fontId="0" fillId="0" borderId="1" xfId="0" applyNumberFormat="1" applyFont="1" applyFill="1" applyBorder="1"/>
    <x:xf numFmtId="203" fontId="0" fillId="0" borderId="1"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0"/>
    </x:xf>
    <x:xf numFmtId="0" fontId="4" fillId="3" borderId="1" xfId="0" applyNumberFormat="1" applyFont="1" applyFill="1" applyBorder="1" applyAlignment="1">
      <x:alignment wrapText="0"/>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4"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ef1264df354687" /><Relationship Type="http://schemas.openxmlformats.org/officeDocument/2006/relationships/theme" Target="/xl/theme/theme1.xml" Id="R786cf15cd9684dbf" /><Relationship Type="http://schemas.openxmlformats.org/officeDocument/2006/relationships/sharedStrings" Target="/xl/sharedStrings.xml" Id="Rc09ffcca1e344d71" /><Relationship Type="http://schemas.openxmlformats.org/officeDocument/2006/relationships/worksheet" Target="/xl/worksheets/sheet1.xml" Id="Re160b3956feb4589" /><Relationship Type="http://schemas.openxmlformats.org/officeDocument/2006/relationships/worksheet" Target="/xl/worksheets/sheet2.xml" Id="Rc555cd92fe83486a" /><Relationship Type="http://schemas.openxmlformats.org/officeDocument/2006/relationships/worksheet" Target="/xl/worksheets/sheet3.xml" Id="Rd96ce248925849fb" /><Relationship Type="http://schemas.openxmlformats.org/officeDocument/2006/relationships/worksheet" Target="/xl/worksheets/sheet4.xml" Id="Ra43e0c3801234b45" /><Relationship Type="http://schemas.openxmlformats.org/officeDocument/2006/relationships/worksheet" Target="/xl/worksheets/sheet5.xml" Id="Rbb68f035094442ab" /></Relationships>
</file>

<file path=xl/tables/table1.xml><?xml version="1.0" encoding="utf-8"?>
<x:table xmlns:x="http://schemas.openxmlformats.org/spreadsheetml/2006/main" id="1" name="ConfigTable" displayName="ConfigTable" ref="A3:B10" headerRowCount="1">
  <x:tableColumns count="2">
    <x:tableColumn id="1" name="Campo"/>
    <x:tableColumn id="2" name="Valor"/>
  </x:tableColumns>
  <x:tableStyleInfo name="TableStyleMedium2" showRowStripes="1"/>
</x:table>
</file>

<file path=xl/tables/table2.xml><?xml version="1.0" encoding="utf-8"?>
<x:table xmlns:x="http://schemas.openxmlformats.org/spreadsheetml/2006/main" id="2" name="ProdutosTable" displayName="ProdutosTable" ref="A5:X205" headerRowCount="1">
  <x:tableColumns count="24">
    <x:tableColumn id="1" name="Status"/>
    <x:tableColumn id="2" name="Fonte interna"/>
    <x:tableColumn id="3" name="Categoria"/>
    <x:tableColumn id="4" name="Produto capturado"/>
    <x:tableColumn id="5" name="Nome limpo site"/>
    <x:tableColumn id="6" name="Link Produto"/>
    <x:tableColumn id="7" name="Foto URL"/>
    <x:tableColumn id="8" name="Abrir foto"/>
    <x:tableColumn id="9" name="Status da foto"/>
    <x:tableColumn id="10" name="Loja"/>
    <x:tableColumn id="11" name="Preco fornecedor BRL"/>
    <x:tableColumn id="12" name="Frete BRL"/>
    <x:tableColumn id="13" name="Custo total BRL"/>
    <x:tableColumn id="14" name="Preco venda BRL"/>
    <x:tableColumn id="15" name="Lucro estimado BRL"/>
    <x:tableColumn id="16" name="Margem %"/>
    <x:tableColumn id="17" name="Avaliacao"/>
    <x:tableColumn id="18" name="Pedidos"/>
    <x:tableColumn id="19" name="Envio/Rastreio"/>
    <x:tableColumn id="20" name="Produto base/site"/>
    <x:tableColumn id="21" name="SKU base"/>
    <x:tableColumn id="22" name="Data coleta"/>
    <x:tableColumn id="23" name="Texto com marca?"/>
    <x:tableColumn id="24" name="Observacoes"/>
  </x:tableColumns>
  <x:tableStyleInfo name="TableStyleMedium2" showRowStripes="1"/>
</x:table>
</file>

<file path=xl/tables/table3.xml><?xml version="1.0" encoding="utf-8"?>
<x:table xmlns:x="http://schemas.openxmlformats.org/spreadsheetml/2006/main" id="3" name="BuscasTable" displayName="BuscasTable" ref="A3:J11" headerRowCount="1">
  <x:tableColumns count="10">
    <x:tableColumn id="1" name="SKU"/>
    <x:tableColumn id="2" name="Produto do site"/>
    <x:tableColumn id="3" name="Categoria"/>
    <x:tableColumn id="4" name="URL de busca"/>
    <x:tableColumn id="5" name="Busca alternativa"/>
    <x:tableColumn id="6" name="Preco venda BRL"/>
    <x:tableColumn id="7" name="Custo alvo BRL"/>
    <x:tableColumn id="8" name="Margem alvo"/>
    <x:tableColumn id="9" name="Abrir busca"/>
    <x:tableColumn id="10" name="Observaco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ee3d7e90ef4aa6" /></Relationships>
</file>

<file path=xl/worksheets/_rels/sheet3.xml.rels>&#65279;<?xml version="1.0" encoding="utf-8"?><Relationships xmlns="http://schemas.openxmlformats.org/package/2006/relationships"><Relationship Type="http://schemas.openxmlformats.org/officeDocument/2006/relationships/table" Target="/xl/tables/table2.xml" Id="Re99287c1595a455f" /></Relationships>
</file>

<file path=xl/worksheets/_rels/sheet4.xml.rels>&#65279;<?xml version="1.0" encoding="utf-8"?><Relationships xmlns="http://schemas.openxmlformats.org/package/2006/relationships"><Relationship Type="http://schemas.openxmlformats.org/officeDocument/2006/relationships/table" Target="/xl/tables/table3.xml" Id="R12d1a2b1498f4581"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6.25" hidden="0" customWidth="1"/>
    <x:col min="3" max="3" width="3" hidden="0" customWidth="1"/>
    <x:col min="4" max="4" width="18.75" hidden="0" customWidth="1"/>
    <x:col min="5" max="5" width="18.75" hidden="0" customWidth="1"/>
    <x:col min="6" max="6" width="18.75" hidden="0" customWidth="1"/>
    <x:col min="7" max="7" width="18.75" hidden="0" customWidth="1"/>
    <x:col min="8" max="8" width="18.75" hidden="0" customWidth="1"/>
  </x:cols>
  <x:sheetData>
    <x:row r="1">
      <x:c r="A1" s="26" t="str">
        <x:v>Automacao AliExpress - Produtos</x:v>
      </x:c>
      <x:c r="B1" s="26" t="str">
        <x:v>Automacao AliExpress - Produtos</x:v>
      </x:c>
      <x:c r="C1" s="26" t="str">
        <x:v>Automacao AliExpress - Produtos</x:v>
      </x:c>
      <x:c r="D1" s="26" t="str">
        <x:v>Automacao AliExpress - Produtos</x:v>
      </x:c>
      <x:c r="E1" s="26" t="str">
        <x:v>Automacao AliExpress - Produtos</x:v>
      </x:c>
      <x:c r="F1" s="26" t="str">
        <x:v>Automacao AliExpress - Produtos</x:v>
      </x:c>
      <x:c r="G1" s="26" t="str">
        <x:v>Automacao AliExpress - Produtos</x:v>
      </x:c>
      <x:c r="H1" s="26" t="str">
        <x:v>Automacao AliExpress - Produtos</x:v>
      </x:c>
    </x:row>
    <x:row r="2">
      <x:c r="A2" s="5" t="str">
        <x:v>Resumo para coletar achadinhos, fotos sem marca e textos limpos para decidir quais produtos entram na loja.</x:v>
      </x:c>
      <x:c r="B2" s="5" t="str">
        <x:v>Resumo para coletar achadinhos, fotos sem marca e textos limpos para decidir quais produtos entram na loja.</x:v>
      </x:c>
      <x:c r="C2" s="5" t="str">
        <x:v>Resumo para coletar achadinhos, fotos sem marca e textos limpos para decidir quais produtos entram na loja.</x:v>
      </x:c>
      <x:c r="D2" s="5" t="str">
        <x:v>Resumo para coletar achadinhos, fotos sem marca e textos limpos para decidir quais produtos entram na loja.</x:v>
      </x:c>
      <x:c r="E2" s="5" t="str">
        <x:v>Resumo para coletar achadinhos, fotos sem marca e textos limpos para decidir quais produtos entram na loja.</x:v>
      </x:c>
      <x:c r="F2" s="5" t="str">
        <x:v>Resumo para coletar achadinhos, fotos sem marca e textos limpos para decidir quais produtos entram na loja.</x:v>
      </x:c>
      <x:c r="G2" s="5" t="str">
        <x:v>Resumo para coletar achadinhos, fotos sem marca e textos limpos para decidir quais produtos entram na loja.</x:v>
      </x:c>
      <x:c r="H2" s="5" t="str">
        <x:v>Resumo para coletar achadinhos, fotos sem marca e textos limpos para decidir quais produtos entram na loja.</x:v>
      </x:c>
    </x:row>
    <x:row r="3">
      <x:c r="A3" s="27"/>
      <x:c r="B3" s="27"/>
      <x:c r="C3" s="27"/>
      <x:c r="D3" s="27"/>
      <x:c r="E3" s="27"/>
      <x:c r="F3" s="27"/>
      <x:c r="G3" s="27"/>
      <x:c r="H3" s="27"/>
    </x:row>
    <x:row r="4">
      <x:c r="A4" s="11" t="str">
        <x:v>Indicador</x:v>
      </x:c>
      <x:c r="B4" s="11" t="str">
        <x:v>Valor</x:v>
      </x:c>
      <x:c r="C4" s="27"/>
      <x:c r="D4" s="8" t="str">
        <x:v>Como usar em 5 passos</x:v>
      </x:c>
      <x:c r="E4" s="8" t="str">
        <x:v>Como usar em 5 passos</x:v>
      </x:c>
      <x:c r="F4" s="8" t="str">
        <x:v>Como usar em 5 passos</x:v>
      </x:c>
      <x:c r="G4" s="8" t="str">
        <x:v>Como usar em 5 passos</x:v>
      </x:c>
      <x:c r="H4" s="8" t="str">
        <x:v>Como usar em 5 passos</x:v>
      </x:c>
    </x:row>
    <x:row r="5" ht="21" customHeight="1">
      <x:c r="A5" s="28" t="str">
        <x:v>Produtos preenchidos</x:v>
      </x:c>
      <x:c r="B5" s="28" t="n">
        <x:f>SUMPRODUCT((Produtos!D6:D205&lt;&gt;"")*1)</x:f>
        <x:v>8</x:v>
      </x:c>
      <x:c r="C5" s="27"/>
      <x:c r="D5" s="15" t="str">
        <x:v>1. Abra a aba Config e ajuste a URL do AliExpress.</x:v>
      </x:c>
      <x:c r="E5" s="15" t="str">
        <x:v>1. Abra a aba Config e ajuste a URL do AliExpress.</x:v>
      </x:c>
      <x:c r="F5" s="15" t="str">
        <x:v>1. Abra a aba Config e ajuste a URL do AliExpress.</x:v>
      </x:c>
      <x:c r="G5" s="15" t="str">
        <x:v>1. Abra a aba Config e ajuste a URL do AliExpress.</x:v>
      </x:c>
      <x:c r="H5" s="15" t="str">
        <x:v>1. Abra a aba Config e ajuste a URL do AliExpress.</x:v>
      </x:c>
    </x:row>
    <x:row r="6" ht="21" customHeight="1">
      <x:c r="A6" s="28" t="str">
        <x:v>Aprovados</x:v>
      </x:c>
      <x:c r="B6" s="28" t="n">
        <x:f>SUMPRODUCT((Produtos!A6:A205="Aprovado")*(Produtos!D6:D205&lt;&gt;""))</x:f>
        <x:v>0</x:v>
      </x:c>
      <x:c r="C6" s="27"/>
      <x:c r="D6" s="15" t="str">
        <x:v>2. No Excel, use Dados &gt; Obter Dados &gt; Consulta em Branco.</x:v>
      </x:c>
      <x:c r="E6" s="15" t="str">
        <x:v>2. No Excel, use Dados &gt; Obter Dados &gt; Consulta em Branco.</x:v>
      </x:c>
      <x:c r="F6" s="15" t="str">
        <x:v>2. No Excel, use Dados &gt; Obter Dados &gt; Consulta em Branco.</x:v>
      </x:c>
      <x:c r="G6" s="15" t="str">
        <x:v>2. No Excel, use Dados &gt; Obter Dados &gt; Consulta em Branco.</x:v>
      </x:c>
      <x:c r="H6" s="15" t="str">
        <x:v>2. No Excel, use Dados &gt; Obter Dados &gt; Consulta em Branco.</x:v>
      </x:c>
    </x:row>
    <x:row r="7" ht="21" customHeight="1">
      <x:c r="A7" s="28" t="str">
        <x:v>Para validar</x:v>
      </x:c>
      <x:c r="B7" s="28" t="n">
        <x:f>SUMPRODUCT((Produtos!A6:A205="Para validar")*(Produtos!D6:D205&lt;&gt;""))</x:f>
        <x:v>8</x:v>
      </x:c>
      <x:c r="C7" s="27"/>
      <x:c r="D7" s="15" t="str">
        <x:v>3. Cole o codigo Power Query da aba Automacao.</x:v>
      </x:c>
      <x:c r="E7" s="15" t="str">
        <x:v>3. Cole o codigo Power Query da aba Automacao.</x:v>
      </x:c>
      <x:c r="F7" s="15" t="str">
        <x:v>3. Cole o codigo Power Query da aba Automacao.</x:v>
      </x:c>
      <x:c r="G7" s="15" t="str">
        <x:v>3. Cole o codigo Power Query da aba Automacao.</x:v>
      </x:c>
      <x:c r="H7" s="15" t="str">
        <x:v>3. Cole o codigo Power Query da aba Automacao.</x:v>
      </x:c>
    </x:row>
    <x:row r="8" ht="21" customHeight="1">
      <x:c r="A8" s="28" t="str">
        <x:v>Margem media</x:v>
      </x:c>
      <x:c r="B8" s="29" t="n">
        <x:f>IFERROR(AVERAGE(Produtos!P6:P205),0)</x:f>
        <x:v>0.5402694253561576</x:v>
      </x:c>
      <x:c r="C8" s="27"/>
      <x:c r="D8" s="15" t="str">
        <x:v>4. Carregue o resultado na aba Produtos ou cole os itens manualmente.</x:v>
      </x:c>
      <x:c r="E8" s="15" t="str">
        <x:v>4. Carregue o resultado na aba Produtos ou cole os itens manualmente.</x:v>
      </x:c>
      <x:c r="F8" s="15" t="str">
        <x:v>4. Carregue o resultado na aba Produtos ou cole os itens manualmente.</x:v>
      </x:c>
      <x:c r="G8" s="15" t="str">
        <x:v>4. Carregue o resultado na aba Produtos ou cole os itens manualmente.</x:v>
      </x:c>
      <x:c r="H8" s="15" t="str">
        <x:v>4. Carregue o resultado na aba Produtos ou cole os itens manualmente.</x:v>
      </x:c>
    </x:row>
    <x:row r="9" ht="21" customHeight="1">
      <x:c r="A9" s="28" t="str">
        <x:v>Maior margem</x:v>
      </x:c>
      <x:c r="B9" s="29" t="n">
        <x:f>IFERROR(MAX(Produtos!P6:P205),0)</x:f>
        <x:v>0.581056466302368</x:v>
      </x:c>
      <x:c r="C9" s="27"/>
      <x:c r="D9" s="15" t="str">
        <x:v>5. Marque o status como Aprovado, Reprovado ou Para validar.</x:v>
      </x:c>
      <x:c r="E9" s="15" t="str">
        <x:v>5. Marque o status como Aprovado, Reprovado ou Para validar.</x:v>
      </x:c>
      <x:c r="F9" s="15" t="str">
        <x:v>5. Marque o status como Aprovado, Reprovado ou Para validar.</x:v>
      </x:c>
      <x:c r="G9" s="15" t="str">
        <x:v>5. Marque o status como Aprovado, Reprovado ou Para validar.</x:v>
      </x:c>
      <x:c r="H9" s="15" t="str">
        <x:v>5. Marque o status como Aprovado, Reprovado ou Para validar.</x:v>
      </x:c>
    </x:row>
    <x:row r="10">
      <x:c r="A10" s="28" t="str">
        <x:v>Lucro potencial total</x:v>
      </x:c>
      <x:c r="B10" s="30" t="n">
        <x:f>IFERROR(SUM(Produtos!O6:O205),0)</x:f>
        <x:v>393.20000000000005</x:v>
      </x:c>
      <x:c r="C10" s="27"/>
      <x:c r="D10" s="27"/>
      <x:c r="E10" s="27"/>
      <x:c r="F10" s="27"/>
      <x:c r="G10" s="27"/>
      <x:c r="H10" s="27"/>
    </x:row>
  </x:sheetData>
  <x:mergeCells>
    <x:mergeCell ref="A1:H1"/>
    <x:mergeCell ref="A2:H2"/>
    <x:mergeCell ref="D4:H4"/>
    <x:mergeCell ref="D5:H5"/>
    <x:mergeCell ref="D6:H6"/>
    <x:mergeCell ref="D7:H7"/>
    <x:mergeCell ref="D8:H8"/>
    <x:mergeCell ref="D9:H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25" hidden="0" customWidth="1"/>
    <x:col min="2" max="2" width="53.75" hidden="0" customWidth="1"/>
    <x:col min="3" max="3" width="3" hidden="0" customWidth="1"/>
    <x:col min="4" max="4" width="52.5" hidden="0" customWidth="1"/>
  </x:cols>
  <x:sheetData>
    <x:row r="1">
      <x:c r="A1" s="26" t="str">
        <x:v>Configuracao da coleta</x:v>
      </x:c>
      <x:c r="B1" s="26" t="str">
        <x:v>Configuracao da coleta</x:v>
      </x:c>
      <x:c r="C1" s="26" t="str">
        <x:v>Configuracao da coleta</x:v>
      </x:c>
      <x:c r="D1" s="26" t="str">
        <x:v>Configuracao da coleta</x:v>
      </x:c>
    </x:row>
    <x:row r="2">
      <x:c r="A2" s="27"/>
      <x:c r="B2" s="27"/>
      <x:c r="C2" s="27"/>
      <x:c r="D2" s="27"/>
    </x:row>
    <x:row r="3">
      <x:c r="A3" s="11" t="str">
        <x:v>Campo</x:v>
      </x:c>
      <x:c r="B3" s="11" t="str">
        <x:v>Valor</x:v>
      </x:c>
      <x:c r="C3" s="27"/>
      <x:c r="D3" s="15" t="str">
        <x:v>Observacao</x:v>
      </x:c>
    </x:row>
    <x:row r="4">
      <x:c r="A4" s="28" t="str">
        <x:v>URL de coleta</x:v>
      </x:c>
      <x:c r="B4" s="28" t="str">
        <x:v>https://www.aliexpress.com/ssr/300000455/mKTE5nTsfT?spm=a2g0o.tm1000013488.9089467070.1.58bd31c6mkD2Qb&amp;disableNav=YES&amp;pha_manifest=ssr&amp;_immersiveMode=true</x:v>
      </x:c>
      <x:c r="C4" s="27"/>
      <x:c r="D4" s="15" t="str">
        <x:v>URL da categoria Brasil informada para captura local no Excel.</x:v>
      </x:c>
    </x:row>
    <x:row r="5">
      <x:c r="A5" s="28" t="str">
        <x:v>URL recomendada</x:v>
      </x:c>
      <x:c r="B5" s="28" t="str">
        <x:v>Use uma URL de busca/categoria se a home vier personalizada ou bloquear</x:v>
      </x:c>
      <x:c r="C5" s="27"/>
      <x:c r="D5" s="15" t="str">
        <x:v>Para resultados melhores, use categorias ou buscas especificas quando a pagina limitar resultados.</x:v>
      </x:c>
    </x:row>
    <x:row r="6">
      <x:c r="A6" s="28" t="str">
        <x:v>Cotacao USD-BRL</x:v>
      </x:c>
      <x:c r="B6" s="30" t="n">
        <x:v>5.4</x:v>
      </x:c>
      <x:c r="C6" s="27"/>
      <x:c r="D6" s="15" t="str">
        <x:v>Ajuste se seus fornecedores cobrarem em USD.</x:v>
      </x:c>
    </x:row>
    <x:row r="7">
      <x:c r="A7" s="28" t="str">
        <x:v>Frete padrao BRL</x:v>
      </x:c>
      <x:c r="B7" s="30" t="n">
        <x:v>0</x:v>
      </x:c>
      <x:c r="C7" s="27"/>
      <x:c r="D7" s="15" t="str">
        <x:v>Use para estimar custo total quando o frete nao vier na coleta.</x:v>
      </x:c>
    </x:row>
    <x:row r="8">
      <x:c r="A8" s="28" t="str">
        <x:v>Margem minima</x:v>
      </x:c>
      <x:c r="B8" s="31" t="n">
        <x:v>0.5</x:v>
      </x:c>
      <x:c r="C8" s="27"/>
      <x:c r="D8" s="15" t="str">
        <x:v>Produtos abaixo disso ficam destacados para revisar.</x:v>
      </x:c>
    </x:row>
    <x:row r="9">
      <x:c r="A9" s="28" t="str">
        <x:v>Moeda de saida</x:v>
      </x:c>
      <x:c r="B9" s="28" t="str">
        <x:v>BRL</x:v>
      </x:c>
      <x:c r="C9" s="27"/>
      <x:c r="D9" s="15" t="str">
        <x:v>Padrao do controle da loja.</x:v>
      </x:c>
    </x:row>
    <x:row r="10">
      <x:c r="A10" s="28" t="str">
        <x:v>Data da planilha</x:v>
      </x:c>
      <x:c r="B10" s="32" t="n">
        <x:v>46190.53442917824</x:v>
      </x:c>
      <x:c r="C10" s="27"/>
      <x:c r="D10" s="15" t="str">
        <x:v>Atualize quando refizer a coleta.</x:v>
      </x:c>
    </x:row>
  </x:sheetData>
  <x:mergeCells>
    <x:mergeCell ref="A1:D1"/>
  </x:mergeCells>
  <x:pageMargins left="0.7" right="0.7" top="0.75" bottom="0.75" header="0.3" footer="0.3"/>
  <x:tableParts count="1">
    <x:tablePart xmlns:r="http://schemas.openxmlformats.org/officeDocument/2006/relationships" r:id="R81ee3d7e90ef4a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6.25" hidden="0" customWidth="1"/>
    <x:col min="3" max="3" width="15" hidden="0" customWidth="1"/>
    <x:col min="4" max="4" width="32.5" hidden="0" customWidth="1"/>
    <x:col min="5" max="5" width="31.25" hidden="0" customWidth="1"/>
    <x:col min="6" max="6" width="45" hidden="0" customWidth="1"/>
    <x:col min="7" max="7" width="35" hidden="0" customWidth="1"/>
    <x:col min="8" max="8" width="11.25" hidden="0" customWidth="1"/>
    <x:col min="9" max="9" width="15" hidden="0" customWidth="1"/>
    <x:col min="10" max="10" width="17.5" hidden="0" customWidth="1"/>
    <x:col min="11" max="11" width="14.380000114440918" hidden="0" customWidth="1"/>
    <x:col min="12" max="12" width="11.880000114440918" hidden="0" customWidth="1"/>
    <x:col min="13" max="13" width="14.380000114440918" hidden="0" customWidth="1"/>
    <x:col min="14" max="14" width="14.380000114440918" hidden="0" customWidth="1"/>
    <x:col min="15" max="15" width="15" hidden="0" customWidth="1"/>
    <x:col min="16" max="16" width="11.25" hidden="0" customWidth="1"/>
    <x:col min="17" max="17" width="11.25" hidden="0" customWidth="1"/>
    <x:col min="18" max="18" width="11.25" hidden="0" customWidth="1"/>
    <x:col min="19" max="19" width="16.25" hidden="0" customWidth="1"/>
    <x:col min="20" max="20" width="28.75" hidden="0" customWidth="1"/>
    <x:col min="21" max="21" width="17.5" hidden="0" customWidth="1"/>
    <x:col min="22" max="22" width="13.130000114440918" hidden="0" customWidth="1"/>
    <x:col min="23" max="23" width="15" hidden="0" customWidth="1"/>
    <x:col min="24" max="24" width="45" hidden="0" customWidth="1"/>
  </x:cols>
  <x:sheetData>
    <x:row r="1">
      <x:c r="A1" s="26" t="str">
        <x:v>Produtos coletados da categoria Brasil</x:v>
      </x:c>
      <x:c r="B1" s="26" t="str">
        <x:v>Produtos coletados da categoria Brasil</x:v>
      </x:c>
      <x:c r="C1" s="26" t="str">
        <x:v>Produtos coletados da categoria Brasil</x:v>
      </x:c>
      <x:c r="D1" s="26" t="str">
        <x:v>Produtos coletados da categoria Brasil</x:v>
      </x:c>
      <x:c r="E1" s="26" t="str">
        <x:v>Produtos coletados da categoria Brasil</x:v>
      </x:c>
      <x:c r="F1" s="26" t="str">
        <x:v>Produtos coletados da categoria Brasil</x:v>
      </x:c>
      <x:c r="G1" s="26" t="str">
        <x:v>Produtos coletados da categoria Brasil</x:v>
      </x:c>
      <x:c r="H1" s="26" t="str">
        <x:v>Produtos coletados da categoria Brasil</x:v>
      </x:c>
      <x:c r="I1" s="26" t="str">
        <x:v>Produtos coletados da categoria Brasil</x:v>
      </x:c>
      <x:c r="J1" s="26" t="str">
        <x:v>Produtos coletados da categoria Brasil</x:v>
      </x:c>
      <x:c r="K1" s="26" t="str">
        <x:v>Produtos coletados da categoria Brasil</x:v>
      </x:c>
      <x:c r="L1" s="26" t="str">
        <x:v>Produtos coletados da categoria Brasil</x:v>
      </x:c>
      <x:c r="M1" s="26" t="str">
        <x:v>Produtos coletados da categoria Brasil</x:v>
      </x:c>
      <x:c r="N1" s="26" t="str">
        <x:v>Produtos coletados da categoria Brasil</x:v>
      </x:c>
      <x:c r="O1" s="26" t="str">
        <x:v>Produtos coletados da categoria Brasil</x:v>
      </x:c>
      <x:c r="P1" s="26" t="str">
        <x:v>Produtos coletados da categoria Brasil</x:v>
      </x:c>
      <x:c r="Q1" s="26" t="str">
        <x:v>Produtos coletados da categoria Brasil</x:v>
      </x:c>
      <x:c r="R1" s="26" t="str">
        <x:v>Produtos coletados da categoria Brasil</x:v>
      </x:c>
      <x:c r="S1" s="26" t="str">
        <x:v>Produtos coletados da categoria Brasil</x:v>
      </x:c>
      <x:c r="T1" s="26" t="str">
        <x:v>Produtos coletados da categoria Brasil</x:v>
      </x:c>
      <x:c r="U1" s="26" t="str">
        <x:v>Produtos coletados da categoria Brasil</x:v>
      </x:c>
      <x:c r="V1" s="26" t="str">
        <x:v>Produtos coletados da categoria Brasil</x:v>
      </x:c>
      <x:c r="W1" s="26" t="str">
        <x:v>Produtos coletados da categoria Brasil</x:v>
      </x:c>
      <x:c r="X1" s="26" t="str">
        <x:v>Produtos coletados da categoria Brasil</x:v>
      </x:c>
    </x:row>
    <x:row r="2">
      <x:c r="A2" s="5" t="str">
        <x:v>Cole aqui os produtos encontrados ou carregue via Power Query. Use Nome limpo site e Status da foto antes de publicar; nao use textos com mencoes ao AliExpress.</x:v>
      </x:c>
      <x:c r="B2" s="5" t="str">
        <x:v>Cole aqui os produtos encontrados ou carregue via Power Query. Use Nome limpo site e Status da foto antes de publicar; nao use textos com mencoes ao AliExpress.</x:v>
      </x:c>
      <x:c r="C2" s="5" t="str">
        <x:v>Cole aqui os produtos encontrados ou carregue via Power Query. Use Nome limpo site e Status da foto antes de publicar; nao use textos com mencoes ao AliExpress.</x:v>
      </x:c>
      <x:c r="D2" s="5" t="str">
        <x:v>Cole aqui os produtos encontrados ou carregue via Power Query. Use Nome limpo site e Status da foto antes de publicar; nao use textos com mencoes ao AliExpress.</x:v>
      </x:c>
      <x:c r="E2" s="5" t="str">
        <x:v>Cole aqui os produtos encontrados ou carregue via Power Query. Use Nome limpo site e Status da foto antes de publicar; nao use textos com mencoes ao AliExpress.</x:v>
      </x:c>
      <x:c r="F2" s="5" t="str">
        <x:v>Cole aqui os produtos encontrados ou carregue via Power Query. Use Nome limpo site e Status da foto antes de publicar; nao use textos com mencoes ao AliExpress.</x:v>
      </x:c>
      <x:c r="G2" s="5" t="str">
        <x:v>Cole aqui os produtos encontrados ou carregue via Power Query. Use Nome limpo site e Status da foto antes de publicar; nao use textos com mencoes ao AliExpress.</x:v>
      </x:c>
      <x:c r="H2" s="5" t="str">
        <x:v>Cole aqui os produtos encontrados ou carregue via Power Query. Use Nome limpo site e Status da foto antes de publicar; nao use textos com mencoes ao AliExpress.</x:v>
      </x:c>
      <x:c r="I2" s="5" t="str">
        <x:v>Cole aqui os produtos encontrados ou carregue via Power Query. Use Nome limpo site e Status da foto antes de publicar; nao use textos com mencoes ao AliExpress.</x:v>
      </x:c>
      <x:c r="J2" s="5" t="str">
        <x:v>Cole aqui os produtos encontrados ou carregue via Power Query. Use Nome limpo site e Status da foto antes de publicar; nao use textos com mencoes ao AliExpress.</x:v>
      </x:c>
      <x:c r="K2" s="5" t="str">
        <x:v>Cole aqui os produtos encontrados ou carregue via Power Query. Use Nome limpo site e Status da foto antes de publicar; nao use textos com mencoes ao AliExpress.</x:v>
      </x:c>
      <x:c r="L2" s="5" t="str">
        <x:v>Cole aqui os produtos encontrados ou carregue via Power Query. Use Nome limpo site e Status da foto antes de publicar; nao use textos com mencoes ao AliExpress.</x:v>
      </x:c>
      <x:c r="M2" s="5" t="str">
        <x:v>Cole aqui os produtos encontrados ou carregue via Power Query. Use Nome limpo site e Status da foto antes de publicar; nao use textos com mencoes ao AliExpress.</x:v>
      </x:c>
      <x:c r="N2" s="5" t="str">
        <x:v>Cole aqui os produtos encontrados ou carregue via Power Query. Use Nome limpo site e Status da foto antes de publicar; nao use textos com mencoes ao AliExpress.</x:v>
      </x:c>
      <x:c r="O2" s="5" t="str">
        <x:v>Cole aqui os produtos encontrados ou carregue via Power Query. Use Nome limpo site e Status da foto antes de publicar; nao use textos com mencoes ao AliExpress.</x:v>
      </x:c>
      <x:c r="P2" s="5" t="str">
        <x:v>Cole aqui os produtos encontrados ou carregue via Power Query. Use Nome limpo site e Status da foto antes de publicar; nao use textos com mencoes ao AliExpress.</x:v>
      </x:c>
      <x:c r="Q2" s="5" t="str">
        <x:v>Cole aqui os produtos encontrados ou carregue via Power Query. Use Nome limpo site e Status da foto antes de publicar; nao use textos com mencoes ao AliExpress.</x:v>
      </x:c>
      <x:c r="R2" s="5" t="str">
        <x:v>Cole aqui os produtos encontrados ou carregue via Power Query. Use Nome limpo site e Status da foto antes de publicar; nao use textos com mencoes ao AliExpress.</x:v>
      </x:c>
      <x:c r="S2" s="5" t="str">
        <x:v>Cole aqui os produtos encontrados ou carregue via Power Query. Use Nome limpo site e Status da foto antes de publicar; nao use textos com mencoes ao AliExpress.</x:v>
      </x:c>
      <x:c r="T2" s="5" t="str">
        <x:v>Cole aqui os produtos encontrados ou carregue via Power Query. Use Nome limpo site e Status da foto antes de publicar; nao use textos com mencoes ao AliExpress.</x:v>
      </x:c>
      <x:c r="U2" s="5" t="str">
        <x:v>Cole aqui os produtos encontrados ou carregue via Power Query. Use Nome limpo site e Status da foto antes de publicar; nao use textos com mencoes ao AliExpress.</x:v>
      </x:c>
      <x:c r="V2" s="5" t="str">
        <x:v>Cole aqui os produtos encontrados ou carregue via Power Query. Use Nome limpo site e Status da foto antes de publicar; nao use textos com mencoes ao AliExpress.</x:v>
      </x:c>
      <x:c r="W2" s="5" t="str">
        <x:v>Cole aqui os produtos encontrados ou carregue via Power Query. Use Nome limpo site e Status da foto antes de publicar; nao use textos com mencoes ao AliExpress.</x:v>
      </x:c>
      <x:c r="X2" s="5" t="str">
        <x:v>Cole aqui os produtos encontrados ou carregue via Power Query. Use Nome limpo site e Status da foto antes de publicar; nao use textos com mencoes ao AliExpress.</x:v>
      </x:c>
    </x:row>
    <x:row r="3">
      <x:c r="A3" s="5" t="str">
        <x:v>Cole aqui os produtos encontrados ou carregue via Power Query. Use Nome limpo site e Status da foto antes de publicar; nao use textos com mencoes ao AliExpress.</x:v>
      </x:c>
      <x:c r="B3" s="5" t="str">
        <x:v>Cole aqui os produtos encontrados ou carregue via Power Query. Use Nome limpo site e Status da foto antes de publicar; nao use textos com mencoes ao AliExpress.</x:v>
      </x:c>
      <x:c r="C3" s="5" t="str">
        <x:v>Cole aqui os produtos encontrados ou carregue via Power Query. Use Nome limpo site e Status da foto antes de publicar; nao use textos com mencoes ao AliExpress.</x:v>
      </x:c>
      <x:c r="D3" s="5" t="str">
        <x:v>Cole aqui os produtos encontrados ou carregue via Power Query. Use Nome limpo site e Status da foto antes de publicar; nao use textos com mencoes ao AliExpress.</x:v>
      </x:c>
      <x:c r="E3" s="5" t="str">
        <x:v>Cole aqui os produtos encontrados ou carregue via Power Query. Use Nome limpo site e Status da foto antes de publicar; nao use textos com mencoes ao AliExpress.</x:v>
      </x:c>
      <x:c r="F3" s="5" t="str">
        <x:v>Cole aqui os produtos encontrados ou carregue via Power Query. Use Nome limpo site e Status da foto antes de publicar; nao use textos com mencoes ao AliExpress.</x:v>
      </x:c>
      <x:c r="G3" s="5" t="str">
        <x:v>Cole aqui os produtos encontrados ou carregue via Power Query. Use Nome limpo site e Status da foto antes de publicar; nao use textos com mencoes ao AliExpress.</x:v>
      </x:c>
      <x:c r="H3" s="5" t="str">
        <x:v>Cole aqui os produtos encontrados ou carregue via Power Query. Use Nome limpo site e Status da foto antes de publicar; nao use textos com mencoes ao AliExpress.</x:v>
      </x:c>
      <x:c r="I3" s="5" t="str">
        <x:v>Cole aqui os produtos encontrados ou carregue via Power Query. Use Nome limpo site e Status da foto antes de publicar; nao use textos com mencoes ao AliExpress.</x:v>
      </x:c>
      <x:c r="J3" s="5" t="str">
        <x:v>Cole aqui os produtos encontrados ou carregue via Power Query. Use Nome limpo site e Status da foto antes de publicar; nao use textos com mencoes ao AliExpress.</x:v>
      </x:c>
      <x:c r="K3" s="5" t="str">
        <x:v>Cole aqui os produtos encontrados ou carregue via Power Query. Use Nome limpo site e Status da foto antes de publicar; nao use textos com mencoes ao AliExpress.</x:v>
      </x:c>
      <x:c r="L3" s="5" t="str">
        <x:v>Cole aqui os produtos encontrados ou carregue via Power Query. Use Nome limpo site e Status da foto antes de publicar; nao use textos com mencoes ao AliExpress.</x:v>
      </x:c>
      <x:c r="M3" s="5" t="str">
        <x:v>Cole aqui os produtos encontrados ou carregue via Power Query. Use Nome limpo site e Status da foto antes de publicar; nao use textos com mencoes ao AliExpress.</x:v>
      </x:c>
      <x:c r="N3" s="5" t="str">
        <x:v>Cole aqui os produtos encontrados ou carregue via Power Query. Use Nome limpo site e Status da foto antes de publicar; nao use textos com mencoes ao AliExpress.</x:v>
      </x:c>
      <x:c r="O3" s="5" t="str">
        <x:v>Cole aqui os produtos encontrados ou carregue via Power Query. Use Nome limpo site e Status da foto antes de publicar; nao use textos com mencoes ao AliExpress.</x:v>
      </x:c>
      <x:c r="P3" s="5" t="str">
        <x:v>Cole aqui os produtos encontrados ou carregue via Power Query. Use Nome limpo site e Status da foto antes de publicar; nao use textos com mencoes ao AliExpress.</x:v>
      </x:c>
      <x:c r="Q3" s="5" t="str">
        <x:v>Cole aqui os produtos encontrados ou carregue via Power Query. Use Nome limpo site e Status da foto antes de publicar; nao use textos com mencoes ao AliExpress.</x:v>
      </x:c>
      <x:c r="R3" s="5" t="str">
        <x:v>Cole aqui os produtos encontrados ou carregue via Power Query. Use Nome limpo site e Status da foto antes de publicar; nao use textos com mencoes ao AliExpress.</x:v>
      </x:c>
      <x:c r="S3" s="5" t="str">
        <x:v>Cole aqui os produtos encontrados ou carregue via Power Query. Use Nome limpo site e Status da foto antes de publicar; nao use textos com mencoes ao AliExpress.</x:v>
      </x:c>
      <x:c r="T3" s="5" t="str">
        <x:v>Cole aqui os produtos encontrados ou carregue via Power Query. Use Nome limpo site e Status da foto antes de publicar; nao use textos com mencoes ao AliExpress.</x:v>
      </x:c>
      <x:c r="U3" s="5" t="str">
        <x:v>Cole aqui os produtos encontrados ou carregue via Power Query. Use Nome limpo site e Status da foto antes de publicar; nao use textos com mencoes ao AliExpress.</x:v>
      </x:c>
      <x:c r="V3" s="5" t="str">
        <x:v>Cole aqui os produtos encontrados ou carregue via Power Query. Use Nome limpo site e Status da foto antes de publicar; nao use textos com mencoes ao AliExpress.</x:v>
      </x:c>
      <x:c r="W3" s="5" t="str">
        <x:v>Cole aqui os produtos encontrados ou carregue via Power Query. Use Nome limpo site e Status da foto antes de publicar; nao use textos com mencoes ao AliExpress.</x:v>
      </x:c>
      <x:c r="X3" s="5" t="str">
        <x:v>Cole aqui os produtos encontrados ou carregue via Power Query. Use Nome limpo site e Status da foto antes de publicar; nao use textos com mencoes ao AliExpress.</x:v>
      </x:c>
    </x:row>
    <x:row r="4">
      <x:c r="A4" s="27"/>
      <x:c r="B4" s="27"/>
      <x:c r="C4" s="27"/>
      <x:c r="D4" s="27"/>
      <x:c r="E4" s="27"/>
      <x:c r="F4" s="27"/>
      <x:c r="G4" s="27"/>
      <x:c r="H4" s="27"/>
      <x:c r="I4" s="27"/>
      <x:c r="J4" s="27"/>
      <x:c r="K4" s="27"/>
      <x:c r="L4" s="27"/>
      <x:c r="M4" s="27"/>
      <x:c r="N4" s="27"/>
      <x:c r="O4" s="27"/>
      <x:c r="P4" s="27"/>
      <x:c r="Q4" s="27"/>
      <x:c r="R4" s="27"/>
      <x:c r="S4" s="27"/>
      <x:c r="T4" s="27"/>
      <x:c r="U4" s="27"/>
      <x:c r="V4" s="27"/>
      <x:c r="W4" s="27"/>
      <x:c r="X4" s="27"/>
    </x:row>
    <x:row r="5">
      <x:c r="A5" s="11" t="str">
        <x:v>Status</x:v>
      </x:c>
      <x:c r="B5" s="11" t="str">
        <x:v>Fonte interna</x:v>
      </x:c>
      <x:c r="C5" s="11" t="str">
        <x:v>Categoria</x:v>
      </x:c>
      <x:c r="D5" s="11" t="str">
        <x:v>Produto capturado</x:v>
      </x:c>
      <x:c r="E5" s="11" t="str">
        <x:v>Nome limpo site</x:v>
      </x:c>
      <x:c r="F5" s="11" t="str">
        <x:v>Link Produto</x:v>
      </x:c>
      <x:c r="G5" s="11" t="str">
        <x:v>Foto URL</x:v>
      </x:c>
      <x:c r="H5" s="11" t="str">
        <x:v>Abrir foto</x:v>
      </x:c>
      <x:c r="I5" s="11" t="str">
        <x:v>Status da foto</x:v>
      </x:c>
      <x:c r="J5" s="11" t="str">
        <x:v>Loja</x:v>
      </x:c>
      <x:c r="K5" s="11" t="str">
        <x:v>Preco fornecedor BRL</x:v>
      </x:c>
      <x:c r="L5" s="11" t="str">
        <x:v>Frete BRL</x:v>
      </x:c>
      <x:c r="M5" s="11" t="str">
        <x:v>Custo total BRL</x:v>
      </x:c>
      <x:c r="N5" s="11" t="str">
        <x:v>Preco venda BRL</x:v>
      </x:c>
      <x:c r="O5" s="11" t="str">
        <x:v>Lucro estimado BRL</x:v>
      </x:c>
      <x:c r="P5" s="11" t="str">
        <x:v>Margem %</x:v>
      </x:c>
      <x:c r="Q5" s="11" t="str">
        <x:v>Avaliacao</x:v>
      </x:c>
      <x:c r="R5" s="11" t="str">
        <x:v>Pedidos</x:v>
      </x:c>
      <x:c r="S5" s="11" t="str">
        <x:v>Envio/Rastreio</x:v>
      </x:c>
      <x:c r="T5" s="11" t="str">
        <x:v>Produto base/site</x:v>
      </x:c>
      <x:c r="U5" s="11" t="str">
        <x:v>SKU base</x:v>
      </x:c>
      <x:c r="V5" s="11" t="str">
        <x:v>Data coleta</x:v>
      </x:c>
      <x:c r="W5" s="11" t="str">
        <x:v>Texto com marca?</x:v>
      </x:c>
      <x:c r="X5" s="11" t="str">
        <x:v>Observacoes</x:v>
      </x:c>
    </x:row>
    <x:row r="6">
      <x:c r="A6" s="28" t="str">
        <x:v>Para validar</x:v>
      </x:c>
      <x:c r="B6" s="28" t="str">
        <x:v>Fornecedor externo</x:v>
      </x:c>
      <x:c r="C6" s="28" t="str">
        <x:v>Casa</x:v>
      </x:c>
      <x:c r="D6" s="28" t="str">
        <x:v>Liquidificador Portatil USB 380 ml</x:v>
      </x:c>
      <x:c r="E6" s="28" t="str">
        <x:f>IF(D6="","",TRIM(SUBSTITUTE(SUBSTITUTE(SUBSTITUTE(SUBSTITUTE(D6,"AliExpress",""),"aliexpress",""),"ALIEXPRESS",""),"Choice","")))</x:f>
        <x:v>Liquidificador Portatil USB 380 ml</x:v>
      </x:c>
      <x:c r="F6" s="28" t="str">
        <x:v>https://www.aliexpress.com/wholesale?SearchText=portable+usb+blender+380ml</x:v>
      </x:c>
      <x:c r="G6" s="28" t="str"/>
      <x:c r="H6" s="28" t="str">
        <x:f>IF(G6="","",HYPERLINK(G6,"Abrir foto"))</x:f>
      </x:c>
      <x:c r="I6" s="28" t="str">
        <x:f>IF(G6="","Sem foto",IF(OR(ISNUMBER(SEARCH("logo",G6)),ISNUMBER(SEARCH("sprite",G6)),ISNUMBER(SEARCH("aliexpress",G6))),"Revisar foto","OK"))</x:f>
        <x:v>Sem foto</x:v>
      </x:c>
      <x:c r="J6" s="28" t="str">
        <x:v>Fornecedor externo</x:v>
      </x:c>
      <x:c r="K6" s="30" t="n">
        <x:v>42</x:v>
      </x:c>
      <x:c r="L6" s="30" t="str"/>
      <x:c r="M6" s="30" t="n">
        <x:f>IF(K6="","",K6+IF(L6="",0,L6))</x:f>
        <x:v>42</x:v>
      </x:c>
      <x:c r="N6" s="30" t="n">
        <x:v>89.9</x:v>
      </x:c>
      <x:c r="O6" s="30" t="n">
        <x:f>IF(OR(N6="",M6=""),"",N6-M6)</x:f>
        <x:v>47.900000000000006</x:v>
      </x:c>
      <x:c r="P6" s="29" t="n">
        <x:f>IF(OR(N6="",O6=""),"",O6/N6)</x:f>
        <x:v>0.5328142380422692</x:v>
      </x:c>
      <x:c r="Q6" s="28" t="str"/>
      <x:c r="R6" s="28" t="str"/>
      <x:c r="S6" s="28" t="str">
        <x:v>Validar rastreio</x:v>
      </x:c>
      <x:c r="T6" s="28" t="str">
        <x:v>Liquidificador Portatil USB 380 ml</x:v>
      </x:c>
      <x:c r="U6" s="28" t="str">
        <x:v>MLA-MAN-FRESHGO-01</x:v>
      </x:c>
      <x:c r="V6" s="32" t="n">
        <x:v>46190.53442935185</x:v>
      </x:c>
      <x:c r="W6" s="28" t="str">
        <x:f>IF(OR(ISNUMBER(SEARCH("aliexpress",D6)),ISNUMBER(SEARCH("aliexpress",X6))),"Revisar mencao","OK")</x:f>
        <x:v>OK</x:v>
      </x:c>
      <x:c r="X6" s="28" t="str">
        <x:v>Validar avaliacoes acima de 4.7 e envio com rastreio antes de comprar</x:v>
      </x:c>
    </x:row>
    <x:row r="7">
      <x:c r="A7" s="28" t="str">
        <x:v>Para validar</x:v>
      </x:c>
      <x:c r="B7" s="28" t="str">
        <x:v>Fornecedor externo</x:v>
      </x:c>
      <x:c r="C7" s="28" t="str">
        <x:v>Beleza</x:v>
      </x:c>
      <x:c r="D7" s="28" t="str">
        <x:v>Escova Facial Eletrica de Silicone</x:v>
      </x:c>
      <x:c r="E7" s="28" t="str">
        <x:f>IF(D7="","",TRIM(SUBSTITUTE(SUBSTITUTE(SUBSTITUTE(SUBSTITUTE(D7,"AliExpress",""),"aliexpress",""),"ALIEXPRESS",""),"Choice","")))</x:f>
        <x:v>Escova Facial Eletrica de Silicone</x:v>
      </x:c>
      <x:c r="F7" s="28" t="str">
        <x:v>https://www.aliexpress.com/wholesale?SearchText=silicone+facial+cleansing+brush+electric</x:v>
      </x:c>
      <x:c r="G7" s="28" t="str"/>
      <x:c r="H7" s="28" t="str">
        <x:f>IF(G7="","",HYPERLINK(G7,"Abrir foto"))</x:f>
      </x:c>
      <x:c r="I7" s="28" t="str">
        <x:f>IF(G7="","Sem foto",IF(OR(ISNUMBER(SEARCH("logo",G7)),ISNUMBER(SEARCH("sprite",G7)),ISNUMBER(SEARCH("aliexpress",G7))),"Revisar foto","OK"))</x:f>
        <x:v>Sem foto</x:v>
      </x:c>
      <x:c r="J7" s="28" t="str">
        <x:v>Fornecedor externo</x:v>
      </x:c>
      <x:c r="K7" s="30" t="n">
        <x:v>56</x:v>
      </x:c>
      <x:c r="L7" s="30" t="str"/>
      <x:c r="M7" s="30" t="n">
        <x:f>IF(K7="","",K7+IF(L7="",0,L7))</x:f>
        <x:v>56</x:v>
      </x:c>
      <x:c r="N7" s="30" t="n">
        <x:v>119.9</x:v>
      </x:c>
      <x:c r="O7" s="30" t="n">
        <x:f>IF(OR(N7="",M7=""),"",N7-M7)</x:f>
        <x:v>63.900000000000006</x:v>
      </x:c>
      <x:c r="P7" s="29" t="n">
        <x:f>IF(OR(N7="",O7=""),"",O7/N7)</x:f>
        <x:v>0.5329441201000834</x:v>
      </x:c>
      <x:c r="Q7" s="28" t="str"/>
      <x:c r="R7" s="28" t="str"/>
      <x:c r="S7" s="28" t="str">
        <x:v>Validar rastreio</x:v>
      </x:c>
      <x:c r="T7" s="28" t="str">
        <x:v>Escova Facial Eletrica de Silicone</x:v>
      </x:c>
      <x:c r="U7" s="28" t="str">
        <x:v>MLA-MAN-GLOWCARE-02</x:v>
      </x:c>
      <x:c r="V7" s="32" t="n">
        <x:v>46190.53442935185</x:v>
      </x:c>
      <x:c r="W7" s="28" t="str">
        <x:f>IF(OR(ISNUMBER(SEARCH("aliexpress",D7)),ISNUMBER(SEARCH("aliexpress",X7))),"Revisar mencao","OK")</x:f>
        <x:v>OK</x:v>
      </x:c>
      <x:c r="X7" s="28" t="str">
        <x:v>Escolher anuncio com fotos reais do produto e variantes de cor claras</x:v>
      </x:c>
    </x:row>
    <x:row r="8">
      <x:c r="A8" s="28" t="str">
        <x:v>Para validar</x:v>
      </x:c>
      <x:c r="B8" s="28" t="str">
        <x:v>Fornecedor externo</x:v>
      </x:c>
      <x:c r="C8" s="28" t="str">
        <x:v>Casa</x:v>
      </x:c>
      <x:c r="D8" s="28" t="str">
        <x:v>Garrafa Termica Inox 1L com Alca</x:v>
      </x:c>
      <x:c r="E8" s="28" t="str">
        <x:f>IF(D8="","",TRIM(SUBSTITUTE(SUBSTITUTE(SUBSTITUTE(SUBSTITUTE(D8,"AliExpress",""),"aliexpress",""),"ALIEXPRESS",""),"Choice","")))</x:f>
        <x:v>Garrafa Termica Inox 1L com Alca</x:v>
      </x:c>
      <x:c r="F8" s="28" t="str">
        <x:v>https://www.aliexpress.com/wholesale?SearchText=1l+stainless+steel+vacuum+flask+with+handle</x:v>
      </x:c>
      <x:c r="G8" s="28" t="str"/>
      <x:c r="H8" s="28" t="str">
        <x:f>IF(G8="","",HYPERLINK(G8,"Abrir foto"))</x:f>
      </x:c>
      <x:c r="I8" s="28" t="str">
        <x:f>IF(G8="","Sem foto",IF(OR(ISNUMBER(SEARCH("logo",G8)),ISNUMBER(SEARCH("sprite",G8)),ISNUMBER(SEARCH("aliexpress",G8))),"Revisar foto","OK"))</x:f>
        <x:v>Sem foto</x:v>
      </x:c>
      <x:c r="J8" s="28" t="str">
        <x:v>Fornecedor externo</x:v>
      </x:c>
      <x:c r="K8" s="30" t="n">
        <x:v>37</x:v>
      </x:c>
      <x:c r="L8" s="30" t="str"/>
      <x:c r="M8" s="30" t="n">
        <x:f>IF(K8="","",K8+IF(L8="",0,L8))</x:f>
        <x:v>37</x:v>
      </x:c>
      <x:c r="N8" s="30" t="n">
        <x:v>79.9</x:v>
      </x:c>
      <x:c r="O8" s="30" t="n">
        <x:f>IF(OR(N8="",M8=""),"",N8-M8)</x:f>
        <x:v>42.900000000000006</x:v>
      </x:c>
      <x:c r="P8" s="29" t="n">
        <x:f>IF(OR(N8="",O8=""),"",O8/N8)</x:f>
        <x:v>0.5369211514392992</x:v>
      </x:c>
      <x:c r="Q8" s="28" t="str"/>
      <x:c r="R8" s="28" t="str"/>
      <x:c r="S8" s="28" t="str">
        <x:v>Validar rastreio</x:v>
      </x:c>
      <x:c r="T8" s="28" t="str">
        <x:v>Garrafa Termica Inox 1L com Alca</x:v>
      </x:c>
      <x:c r="U8" s="28" t="str">
        <x:v>MLA-MAN-FLOW-03</x:v>
      </x:c>
      <x:c r="V8" s="32" t="n">
        <x:v>46190.53442935185</x:v>
      </x:c>
      <x:c r="W8" s="28" t="str">
        <x:f>IF(OR(ISNUMBER(SEARCH("aliexpress",D8)),ISNUMBER(SEARCH("aliexpress",X8))),"Revisar mencao","OK")</x:f>
        <x:v>OK</x:v>
      </x:c>
      <x:c r="X8" s="28" t="str">
        <x:v>Conferir capacidade real de 1L e material inox antes do pedido</x:v>
      </x:c>
    </x:row>
    <x:row r="9">
      <x:c r="A9" s="28" t="str">
        <x:v>Para validar</x:v>
      </x:c>
      <x:c r="B9" s="28" t="str">
        <x:v>Fornecedor externo</x:v>
      </x:c>
      <x:c r="C9" s="28" t="str">
        <x:v>Organizacao</x:v>
      </x:c>
      <x:c r="D9" s="28" t="str">
        <x:v>Caixa Organizadora Dobravel com Tampa</x:v>
      </x:c>
      <x:c r="E9" s="28" t="str">
        <x:f>IF(D9="","",TRIM(SUBSTITUTE(SUBSTITUTE(SUBSTITUTE(SUBSTITUTE(D9,"AliExpress",""),"aliexpress",""),"ALIEXPRESS",""),"Choice","")))</x:f>
        <x:v>Caixa Organizadora Dobravel com Tampa</x:v>
      </x:c>
      <x:c r="F9" s="28" t="str">
        <x:v>https://www.aliexpress.com/wholesale?SearchText=foldable+storage+box+with+lid</x:v>
      </x:c>
      <x:c r="G9" s="28" t="str"/>
      <x:c r="H9" s="28" t="str">
        <x:f>IF(G9="","",HYPERLINK(G9,"Abrir foto"))</x:f>
      </x:c>
      <x:c r="I9" s="28" t="str">
        <x:f>IF(G9="","Sem foto",IF(OR(ISNUMBER(SEARCH("logo",G9)),ISNUMBER(SEARCH("sprite",G9)),ISNUMBER(SEARCH("aliexpress",G9))),"Revisar foto","OK"))</x:f>
        <x:v>Sem foto</x:v>
      </x:c>
      <x:c r="J9" s="28" t="str">
        <x:v>Fornecedor externo</x:v>
      </x:c>
      <x:c r="K9" s="30" t="n">
        <x:v>29</x:v>
      </x:c>
      <x:c r="L9" s="30" t="str"/>
      <x:c r="M9" s="30" t="n">
        <x:f>IF(K9="","",K9+IF(L9="",0,L9))</x:f>
        <x:v>29</x:v>
      </x:c>
      <x:c r="N9" s="30" t="n">
        <x:v>64.9</x:v>
      </x:c>
      <x:c r="O9" s="30" t="n">
        <x:f>IF(OR(N9="",M9=""),"",N9-M9)</x:f>
        <x:v>35.900000000000006</x:v>
      </x:c>
      <x:c r="P9" s="29" t="n">
        <x:f>IF(OR(N9="",O9=""),"",O9/N9)</x:f>
        <x:v>0.5531587057010786</x:v>
      </x:c>
      <x:c r="Q9" s="28" t="str"/>
      <x:c r="R9" s="28" t="str"/>
      <x:c r="S9" s="28" t="str">
        <x:v>Validar rastreio</x:v>
      </x:c>
      <x:c r="T9" s="28" t="str">
        <x:v>Caixa Organizadora Dobravel com Tampa</x:v>
      </x:c>
      <x:c r="U9" s="28" t="str">
        <x:v>MLA-MAN-FITBOX-04</x:v>
      </x:c>
      <x:c r="V9" s="32" t="n">
        <x:v>46190.53442935185</x:v>
      </x:c>
      <x:c r="W9" s="28" t="str">
        <x:f>IF(OR(ISNUMBER(SEARCH("aliexpress",D9)),ISNUMBER(SEARCH("aliexpress",X9))),"Revisar mencao","OK")</x:f>
        <x:v>OK</x:v>
      </x:c>
      <x:c r="X9" s="28" t="str">
        <x:v>Validar medidas e custo de frete porque caixas podem variar muito</x:v>
      </x:c>
    </x:row>
    <x:row r="10">
      <x:c r="A10" s="28" t="str">
        <x:v>Para validar</x:v>
      </x:c>
      <x:c r="B10" s="28" t="str">
        <x:v>Fornecedor externo</x:v>
      </x:c>
      <x:c r="C10" s="28" t="str">
        <x:v>Tech</x:v>
      </x:c>
      <x:c r="D10" s="28" t="str">
        <x:v>Fone Bluetooth Sem Fio com Estojo</x:v>
      </x:c>
      <x:c r="E10" s="28" t="str">
        <x:f>IF(D10="","",TRIM(SUBSTITUTE(SUBSTITUTE(SUBSTITUTE(SUBSTITUTE(D10,"AliExpress",""),"aliexpress",""),"ALIEXPRESS",""),"Choice","")))</x:f>
        <x:v>Fone Bluetooth Sem Fio com Estojo</x:v>
      </x:c>
      <x:c r="F10" s="28" t="str">
        <x:v>https://www.aliexpress.com/wholesale?SearchText=wireless+bluetooth+earbuds+charging+case+touch</x:v>
      </x:c>
      <x:c r="G10" s="28" t="str"/>
      <x:c r="H10" s="28" t="str">
        <x:f>IF(G10="","",HYPERLINK(G10,"Abrir foto"))</x:f>
      </x:c>
      <x:c r="I10" s="28" t="str">
        <x:f>IF(G10="","Sem foto",IF(OR(ISNUMBER(SEARCH("logo",G10)),ISNUMBER(SEARCH("sprite",G10)),ISNUMBER(SEARCH("aliexpress",G10))),"Revisar foto","OK"))</x:f>
        <x:v>Sem foto</x:v>
      </x:c>
      <x:c r="J10" s="28" t="str">
        <x:v>Fornecedor externo</x:v>
      </x:c>
      <x:c r="K10" s="30" t="n">
        <x:v>48</x:v>
      </x:c>
      <x:c r="L10" s="30" t="str"/>
      <x:c r="M10" s="30" t="n">
        <x:f>IF(K10="","",K10+IF(L10="",0,L10))</x:f>
        <x:v>48</x:v>
      </x:c>
      <x:c r="N10" s="30" t="n">
        <x:v>99.9</x:v>
      </x:c>
      <x:c r="O10" s="30" t="n">
        <x:f>IF(OR(N10="",M10=""),"",N10-M10)</x:f>
        <x:v>51.900000000000006</x:v>
      </x:c>
      <x:c r="P10" s="29" t="n">
        <x:f>IF(OR(N10="",O10=""),"",O10/N10)</x:f>
        <x:v>0.5195195195195196</x:v>
      </x:c>
      <x:c r="Q10" s="28" t="str"/>
      <x:c r="R10" s="28" t="str"/>
      <x:c r="S10" s="28" t="str">
        <x:v>Validar rastreio</x:v>
      </x:c>
      <x:c r="T10" s="28" t="str">
        <x:v>Fone Bluetooth Sem Fio com Estojo</x:v>
      </x:c>
      <x:c r="U10" s="28" t="str">
        <x:v>MLA-MAN-AIRBEAT-05</x:v>
      </x:c>
      <x:c r="V10" s="32" t="n">
        <x:v>46190.53442935185</x:v>
      </x:c>
      <x:c r="W10" s="28" t="str">
        <x:f>IF(OR(ISNUMBER(SEARCH("aliexpress",D10)),ISNUMBER(SEARCH("aliexpress",X10))),"Revisar mencao","OK")</x:f>
        <x:v>OK</x:v>
      </x:c>
      <x:c r="X10" s="28" t="str">
        <x:v>Conferir compatibilidade bluetooth e comentarios sobre bateria</x:v>
      </x:c>
    </x:row>
    <x:row r="11">
      <x:c r="A11" s="28" t="str">
        <x:v>Para validar</x:v>
      </x:c>
      <x:c r="B11" s="28" t="str">
        <x:v>Fornecedor externo</x:v>
      </x:c>
      <x:c r="C11" s="28" t="str">
        <x:v>Casa</x:v>
      </x:c>
      <x:c r="D11" s="28" t="str">
        <x:v>Umidificador de Ar USB com LED</x:v>
      </x:c>
      <x:c r="E11" s="28" t="str">
        <x:f>IF(D11="","",TRIM(SUBSTITUTE(SUBSTITUTE(SUBSTITUTE(SUBSTITUTE(D11,"AliExpress",""),"aliexpress",""),"ALIEXPRESS",""),"Choice","")))</x:f>
        <x:v>Umidificador de Ar USB com LED</x:v>
      </x:c>
      <x:c r="F11" s="28" t="str">
        <x:v>https://www.aliexpress.com/wholesale?SearchText=mini+usb+humidifier+led</x:v>
      </x:c>
      <x:c r="G11" s="28" t="str"/>
      <x:c r="H11" s="28" t="str">
        <x:f>IF(G11="","",HYPERLINK(G11,"Abrir foto"))</x:f>
      </x:c>
      <x:c r="I11" s="28" t="str">
        <x:f>IF(G11="","Sem foto",IF(OR(ISNUMBER(SEARCH("logo",G11)),ISNUMBER(SEARCH("sprite",G11)),ISNUMBER(SEARCH("aliexpress",G11))),"Revisar foto","OK"))</x:f>
        <x:v>Sem foto</x:v>
      </x:c>
      <x:c r="J11" s="28" t="str">
        <x:v>Fornecedor externo</x:v>
      </x:c>
      <x:c r="K11" s="30" t="n">
        <x:v>34</x:v>
      </x:c>
      <x:c r="L11" s="30" t="str"/>
      <x:c r="M11" s="30" t="n">
        <x:f>IF(K11="","",K11+IF(L11="",0,L11))</x:f>
        <x:v>34</x:v>
      </x:c>
      <x:c r="N11" s="30" t="n">
        <x:v>74.9</x:v>
      </x:c>
      <x:c r="O11" s="30" t="n">
        <x:f>IF(OR(N11="",M11=""),"",N11-M11)</x:f>
        <x:v>40.900000000000006</x:v>
      </x:c>
      <x:c r="P11" s="29" t="n">
        <x:f>IF(OR(N11="",O11=""),"",O11/N11)</x:f>
        <x:v>0.5460614152202937</x:v>
      </x:c>
      <x:c r="Q11" s="28" t="str"/>
      <x:c r="R11" s="28" t="str"/>
      <x:c r="S11" s="28" t="str">
        <x:v>Validar rastreio</x:v>
      </x:c>
      <x:c r="T11" s="28" t="str">
        <x:v>Umidificador de Ar USB com LED</x:v>
      </x:c>
      <x:c r="U11" s="28" t="str">
        <x:v>MLA-MAN-MOONMIST-06</x:v>
      </x:c>
      <x:c r="V11" s="32" t="n">
        <x:v>46190.53442935185</x:v>
      </x:c>
      <x:c r="W11" s="28" t="str">
        <x:f>IF(OR(ISNUMBER(SEARCH("aliexpress",D11)),ISNUMBER(SEARCH("aliexpress",X11))),"Revisar mencao","OK")</x:f>
        <x:v>OK</x:v>
      </x:c>
      <x:c r="X11" s="28" t="str">
        <x:v>Escolher modelo USB e evitar anuncios que prometem aromaterapia sem suporte no produto</x:v>
      </x:c>
    </x:row>
    <x:row r="12">
      <x:c r="A12" s="28" t="str">
        <x:v>Para validar</x:v>
      </x:c>
      <x:c r="B12" s="28" t="str">
        <x:v>Fornecedor externo</x:v>
      </x:c>
      <x:c r="C12" s="28" t="str">
        <x:v>Tech</x:v>
      </x:c>
      <x:c r="D12" s="28" t="str">
        <x:v>Suporte Magnetico 360 para Celular</x:v>
      </x:c>
      <x:c r="E12" s="28" t="str">
        <x:f>IF(D12="","",TRIM(SUBSTITUTE(SUBSTITUTE(SUBSTITUTE(SUBSTITUTE(D12,"AliExpress",""),"aliexpress",""),"ALIEXPRESS",""),"Choice","")))</x:f>
        <x:v>Suporte Magnetico 360 para Celular</x:v>
      </x:c>
      <x:c r="F12" s="28" t="str">
        <x:v>https://www.aliexpress.com/wholesale?SearchText=360+magnetic+phone+holder+car+desk</x:v>
      </x:c>
      <x:c r="G12" s="28" t="str"/>
      <x:c r="H12" s="28" t="str">
        <x:f>IF(G12="","",HYPERLINK(G12,"Abrir foto"))</x:f>
      </x:c>
      <x:c r="I12" s="28" t="str">
        <x:f>IF(G12="","Sem foto",IF(OR(ISNUMBER(SEARCH("logo",G12)),ISNUMBER(SEARCH("sprite",G12)),ISNUMBER(SEARCH("aliexpress",G12))),"Revisar foto","OK"))</x:f>
        <x:v>Sem foto</x:v>
      </x:c>
      <x:c r="J12" s="28" t="str">
        <x:v>Fornecedor externo</x:v>
      </x:c>
      <x:c r="K12" s="30" t="n">
        <x:v>23</x:v>
      </x:c>
      <x:c r="L12" s="30" t="str"/>
      <x:c r="M12" s="30" t="n">
        <x:f>IF(K12="","",K12+IF(L12="",0,L12))</x:f>
        <x:v>23</x:v>
      </x:c>
      <x:c r="N12" s="30" t="n">
        <x:v>54.9</x:v>
      </x:c>
      <x:c r="O12" s="30" t="n">
        <x:f>IF(OR(N12="",M12=""),"",N12-M12)</x:f>
        <x:v>31.9</x:v>
      </x:c>
      <x:c r="P12" s="29" t="n">
        <x:f>IF(OR(N12="",O12=""),"",O12/N12)</x:f>
        <x:v>0.581056466302368</x:v>
      </x:c>
      <x:c r="Q12" s="28" t="str"/>
      <x:c r="R12" s="28" t="str"/>
      <x:c r="S12" s="28" t="str">
        <x:v>Validar rastreio</x:v>
      </x:c>
      <x:c r="T12" s="28" t="str">
        <x:v>Suporte Magnetico 360 para Celular</x:v>
      </x:c>
      <x:c r="U12" s="28" t="str">
        <x:v>MLA-MAN-MAGSTAND-07</x:v>
      </x:c>
      <x:c r="V12" s="32" t="n">
        <x:v>46190.53442935185</x:v>
      </x:c>
      <x:c r="W12" s="28" t="str">
        <x:f>IF(OR(ISNUMBER(SEARCH("aliexpress",D12)),ISNUMBER(SEARCH("aliexpress",X12))),"Revisar mencao","OK")</x:f>
        <x:v>OK</x:v>
      </x:c>
      <x:c r="X12" s="28" t="str">
        <x:v>Produto leve; validar se acompanha placa magnetica quando necessario</x:v>
      </x:c>
    </x:row>
    <x:row r="13">
      <x:c r="A13" s="28" t="str">
        <x:v>Para validar</x:v>
      </x:c>
      <x:c r="B13" s="28" t="str">
        <x:v>Fornecedor externo</x:v>
      </x:c>
      <x:c r="C13" s="28" t="str">
        <x:v>Pets</x:v>
      </x:c>
      <x:c r="D13" s="28" t="str">
        <x:v>Fonte Bebedouro Automatico para Pets</x:v>
      </x:c>
      <x:c r="E13" s="28" t="str">
        <x:f>IF(D13="","",TRIM(SUBSTITUTE(SUBSTITUTE(SUBSTITUTE(SUBSTITUTE(D13,"AliExpress",""),"aliexpress",""),"ALIEXPRESS",""),"Choice","")))</x:f>
        <x:v>Fonte Bebedouro Automatico para Pets</x:v>
      </x:c>
      <x:c r="F13" s="28" t="str">
        <x:v>https://www.aliexpress.com/wholesale?SearchText=automatic+pet+water+fountain+cat+dog</x:v>
      </x:c>
      <x:c r="G13" s="28" t="str"/>
      <x:c r="H13" s="28" t="str">
        <x:f>IF(G13="","",HYPERLINK(G13,"Abrir foto"))</x:f>
      </x:c>
      <x:c r="I13" s="28" t="str">
        <x:f>IF(G13="","Sem foto",IF(OR(ISNUMBER(SEARCH("logo",G13)),ISNUMBER(SEARCH("sprite",G13)),ISNUMBER(SEARCH("aliexpress",G13))),"Revisar foto","OK"))</x:f>
        <x:v>Sem foto</x:v>
      </x:c>
      <x:c r="J13" s="28" t="str">
        <x:v>Fornecedor externo</x:v>
      </x:c>
      <x:c r="K13" s="30" t="n">
        <x:v>72</x:v>
      </x:c>
      <x:c r="L13" s="30" t="str"/>
      <x:c r="M13" s="30" t="n">
        <x:f>IF(K13="","",K13+IF(L13="",0,L13))</x:f>
        <x:v>72</x:v>
      </x:c>
      <x:c r="N13" s="30" t="n">
        <x:v>149.9</x:v>
      </x:c>
      <x:c r="O13" s="30" t="n">
        <x:f>IF(OR(N13="",M13=""),"",N13-M13)</x:f>
        <x:v>77.9</x:v>
      </x:c>
      <x:c r="P13" s="29" t="n">
        <x:f>IF(OR(N13="",O13=""),"",O13/N13)</x:f>
        <x:v>0.5196797865243495</x:v>
      </x:c>
      <x:c r="Q13" s="28" t="str"/>
      <x:c r="R13" s="28" t="str"/>
      <x:c r="S13" s="28" t="str">
        <x:v>Validar rastreio</x:v>
      </x:c>
      <x:c r="T13" s="28" t="str">
        <x:v>Fonte Bebedouro Automatico para Pets</x:v>
      </x:c>
      <x:c r="U13" s="28" t="str">
        <x:v>MLA-MAN-PETFLOW-08</x:v>
      </x:c>
      <x:c r="V13" s="32" t="n">
        <x:v>46190.53442935185</x:v>
      </x:c>
      <x:c r="W13" s="28" t="str">
        <x:f>IF(OR(ISNUMBER(SEARCH("aliexpress",D13)),ISNUMBER(SEARCH("aliexpress",X13))),"Revisar mencao","OK")</x:f>
        <x:v>OK</x:v>
      </x:c>
      <x:c r="X13" s="28" t="str">
        <x:v>Conferir tomada USB/fonte e disponibilidade de filtros de reposicao</x:v>
      </x:c>
    </x:row>
    <x:row r="14">
      <x:c r="A14" s="28"/>
      <x:c r="B14" s="28"/>
      <x:c r="C14" s="28"/>
      <x:c r="D14" s="28"/>
      <x:c r="E14" s="28" t="str">
        <x:f>IF(D14="","",TRIM(SUBSTITUTE(SUBSTITUTE(SUBSTITUTE(SUBSTITUTE(D14,"AliExpress",""),"aliexpress",""),"ALIEXPRESS",""),"Choice","")))</x:f>
      </x:c>
      <x:c r="F14" s="28"/>
      <x:c r="G14" s="28"/>
      <x:c r="H14" s="28" t="str">
        <x:f>IF(G14="","",HYPERLINK(G14,"Abrir foto"))</x:f>
      </x:c>
      <x:c r="I14" s="28" t="str">
        <x:f>IF(G14="","Sem foto",IF(OR(ISNUMBER(SEARCH("logo",G14)),ISNUMBER(SEARCH("sprite",G14)),ISNUMBER(SEARCH("aliexpress",G14))),"Revisar foto","OK"))</x:f>
        <x:v>Sem foto</x:v>
      </x:c>
      <x:c r="J14" s="28"/>
      <x:c r="K14" s="30"/>
      <x:c r="L14" s="30"/>
      <x:c r="M14" s="30" t="str">
        <x:f>IF(K14="","",K14+IF(L14="",0,L14))</x:f>
      </x:c>
      <x:c r="N14" s="30"/>
      <x:c r="O14" s="30" t="str">
        <x:f>IF(OR(N14="",M14=""),"",N14-M14)</x:f>
      </x:c>
      <x:c r="P14" s="29" t="str">
        <x:f>IF(OR(N14="",O14=""),"",O14/N14)</x:f>
      </x:c>
      <x:c r="Q14" s="28"/>
      <x:c r="R14" s="28"/>
      <x:c r="S14" s="28"/>
      <x:c r="T14" s="28"/>
      <x:c r="U14" s="28"/>
      <x:c r="V14" s="32"/>
      <x:c r="W14" s="28" t="str">
        <x:f>IF(OR(ISNUMBER(SEARCH("aliexpress",D14)),ISNUMBER(SEARCH("aliexpress",X14))),"Revisar mencao","OK")</x:f>
        <x:v>OK</x:v>
      </x:c>
      <x:c r="X14" s="28"/>
    </x:row>
    <x:row r="15">
      <x:c r="A15" s="28"/>
      <x:c r="B15" s="28"/>
      <x:c r="C15" s="28"/>
      <x:c r="D15" s="28"/>
      <x:c r="E15" s="28" t="str">
        <x:f>IF(D15="","",TRIM(SUBSTITUTE(SUBSTITUTE(SUBSTITUTE(SUBSTITUTE(D15,"AliExpress",""),"aliexpress",""),"ALIEXPRESS",""),"Choice","")))</x:f>
      </x:c>
      <x:c r="F15" s="28"/>
      <x:c r="G15" s="28"/>
      <x:c r="H15" s="28" t="str">
        <x:f>IF(G15="","",HYPERLINK(G15,"Abrir foto"))</x:f>
      </x:c>
      <x:c r="I15" s="28" t="str">
        <x:f>IF(G15="","Sem foto",IF(OR(ISNUMBER(SEARCH("logo",G15)),ISNUMBER(SEARCH("sprite",G15)),ISNUMBER(SEARCH("aliexpress",G15))),"Revisar foto","OK"))</x:f>
        <x:v>Sem foto</x:v>
      </x:c>
      <x:c r="J15" s="28"/>
      <x:c r="K15" s="30"/>
      <x:c r="L15" s="30"/>
      <x:c r="M15" s="30" t="str">
        <x:f>IF(K15="","",K15+IF(L15="",0,L15))</x:f>
      </x:c>
      <x:c r="N15" s="30"/>
      <x:c r="O15" s="30" t="str">
        <x:f>IF(OR(N15="",M15=""),"",N15-M15)</x:f>
      </x:c>
      <x:c r="P15" s="29" t="str">
        <x:f>IF(OR(N15="",O15=""),"",O15/N15)</x:f>
      </x:c>
      <x:c r="Q15" s="28"/>
      <x:c r="R15" s="28"/>
      <x:c r="S15" s="28"/>
      <x:c r="T15" s="28"/>
      <x:c r="U15" s="28"/>
      <x:c r="V15" s="32"/>
      <x:c r="W15" s="28" t="str">
        <x:f>IF(OR(ISNUMBER(SEARCH("aliexpress",D15)),ISNUMBER(SEARCH("aliexpress",X15))),"Revisar mencao","OK")</x:f>
        <x:v>OK</x:v>
      </x:c>
      <x:c r="X15" s="28"/>
    </x:row>
    <x:row r="16">
      <x:c r="A16" s="28"/>
      <x:c r="B16" s="28"/>
      <x:c r="C16" s="28"/>
      <x:c r="D16" s="28"/>
      <x:c r="E16" s="28" t="str">
        <x:f>IF(D16="","",TRIM(SUBSTITUTE(SUBSTITUTE(SUBSTITUTE(SUBSTITUTE(D16,"AliExpress",""),"aliexpress",""),"ALIEXPRESS",""),"Choice","")))</x:f>
      </x:c>
      <x:c r="F16" s="28"/>
      <x:c r="G16" s="28"/>
      <x:c r="H16" s="28" t="str">
        <x:f>IF(G16="","",HYPERLINK(G16,"Abrir foto"))</x:f>
      </x:c>
      <x:c r="I16" s="28" t="str">
        <x:f>IF(G16="","Sem foto",IF(OR(ISNUMBER(SEARCH("logo",G16)),ISNUMBER(SEARCH("sprite",G16)),ISNUMBER(SEARCH("aliexpress",G16))),"Revisar foto","OK"))</x:f>
        <x:v>Sem foto</x:v>
      </x:c>
      <x:c r="J16" s="28"/>
      <x:c r="K16" s="30"/>
      <x:c r="L16" s="30"/>
      <x:c r="M16" s="30" t="str">
        <x:f>IF(K16="","",K16+IF(L16="",0,L16))</x:f>
      </x:c>
      <x:c r="N16" s="30"/>
      <x:c r="O16" s="30" t="str">
        <x:f>IF(OR(N16="",M16=""),"",N16-M16)</x:f>
      </x:c>
      <x:c r="P16" s="29" t="str">
        <x:f>IF(OR(N16="",O16=""),"",O16/N16)</x:f>
      </x:c>
      <x:c r="Q16" s="28"/>
      <x:c r="R16" s="28"/>
      <x:c r="S16" s="28"/>
      <x:c r="T16" s="28"/>
      <x:c r="U16" s="28"/>
      <x:c r="V16" s="32"/>
      <x:c r="W16" s="28" t="str">
        <x:f>IF(OR(ISNUMBER(SEARCH("aliexpress",D16)),ISNUMBER(SEARCH("aliexpress",X16))),"Revisar mencao","OK")</x:f>
        <x:v>OK</x:v>
      </x:c>
      <x:c r="X16" s="28"/>
    </x:row>
    <x:row r="17">
      <x:c r="A17" s="28"/>
      <x:c r="B17" s="28"/>
      <x:c r="C17" s="28"/>
      <x:c r="D17" s="28"/>
      <x:c r="E17" s="28" t="str">
        <x:f>IF(D17="","",TRIM(SUBSTITUTE(SUBSTITUTE(SUBSTITUTE(SUBSTITUTE(D17,"AliExpress",""),"aliexpress",""),"ALIEXPRESS",""),"Choice","")))</x:f>
      </x:c>
      <x:c r="F17" s="28"/>
      <x:c r="G17" s="28"/>
      <x:c r="H17" s="28" t="str">
        <x:f>IF(G17="","",HYPERLINK(G17,"Abrir foto"))</x:f>
      </x:c>
      <x:c r="I17" s="28" t="str">
        <x:f>IF(G17="","Sem foto",IF(OR(ISNUMBER(SEARCH("logo",G17)),ISNUMBER(SEARCH("sprite",G17)),ISNUMBER(SEARCH("aliexpress",G17))),"Revisar foto","OK"))</x:f>
        <x:v>Sem foto</x:v>
      </x:c>
      <x:c r="J17" s="28"/>
      <x:c r="K17" s="30"/>
      <x:c r="L17" s="30"/>
      <x:c r="M17" s="30" t="str">
        <x:f>IF(K17="","",K17+IF(L17="",0,L17))</x:f>
      </x:c>
      <x:c r="N17" s="30"/>
      <x:c r="O17" s="30" t="str">
        <x:f>IF(OR(N17="",M17=""),"",N17-M17)</x:f>
      </x:c>
      <x:c r="P17" s="29" t="str">
        <x:f>IF(OR(N17="",O17=""),"",O17/N17)</x:f>
      </x:c>
      <x:c r="Q17" s="28"/>
      <x:c r="R17" s="28"/>
      <x:c r="S17" s="28"/>
      <x:c r="T17" s="28"/>
      <x:c r="U17" s="28"/>
      <x:c r="V17" s="32"/>
      <x:c r="W17" s="28" t="str">
        <x:f>IF(OR(ISNUMBER(SEARCH("aliexpress",D17)),ISNUMBER(SEARCH("aliexpress",X17))),"Revisar mencao","OK")</x:f>
        <x:v>OK</x:v>
      </x:c>
      <x:c r="X17" s="28"/>
    </x:row>
    <x:row r="18">
      <x:c r="A18" s="28"/>
      <x:c r="B18" s="28"/>
      <x:c r="C18" s="28"/>
      <x:c r="D18" s="28"/>
      <x:c r="E18" s="28" t="str">
        <x:f>IF(D18="","",TRIM(SUBSTITUTE(SUBSTITUTE(SUBSTITUTE(SUBSTITUTE(D18,"AliExpress",""),"aliexpress",""),"ALIEXPRESS",""),"Choice","")))</x:f>
      </x:c>
      <x:c r="F18" s="28"/>
      <x:c r="G18" s="28"/>
      <x:c r="H18" s="28" t="str">
        <x:f>IF(G18="","",HYPERLINK(G18,"Abrir foto"))</x:f>
      </x:c>
      <x:c r="I18" s="28" t="str">
        <x:f>IF(G18="","Sem foto",IF(OR(ISNUMBER(SEARCH("logo",G18)),ISNUMBER(SEARCH("sprite",G18)),ISNUMBER(SEARCH("aliexpress",G18))),"Revisar foto","OK"))</x:f>
        <x:v>Sem foto</x:v>
      </x:c>
      <x:c r="J18" s="28"/>
      <x:c r="K18" s="30"/>
      <x:c r="L18" s="30"/>
      <x:c r="M18" s="30" t="str">
        <x:f>IF(K18="","",K18+IF(L18="",0,L18))</x:f>
      </x:c>
      <x:c r="N18" s="30"/>
      <x:c r="O18" s="30" t="str">
        <x:f>IF(OR(N18="",M18=""),"",N18-M18)</x:f>
      </x:c>
      <x:c r="P18" s="29" t="str">
        <x:f>IF(OR(N18="",O18=""),"",O18/N18)</x:f>
      </x:c>
      <x:c r="Q18" s="28"/>
      <x:c r="R18" s="28"/>
      <x:c r="S18" s="28"/>
      <x:c r="T18" s="28"/>
      <x:c r="U18" s="28"/>
      <x:c r="V18" s="32"/>
      <x:c r="W18" s="28" t="str">
        <x:f>IF(OR(ISNUMBER(SEARCH("aliexpress",D18)),ISNUMBER(SEARCH("aliexpress",X18))),"Revisar mencao","OK")</x:f>
        <x:v>OK</x:v>
      </x:c>
      <x:c r="X18" s="28"/>
    </x:row>
    <x:row r="19">
      <x:c r="A19" s="28"/>
      <x:c r="B19" s="28"/>
      <x:c r="C19" s="28"/>
      <x:c r="D19" s="28"/>
      <x:c r="E19" s="28" t="str">
        <x:f>IF(D19="","",TRIM(SUBSTITUTE(SUBSTITUTE(SUBSTITUTE(SUBSTITUTE(D19,"AliExpress",""),"aliexpress",""),"ALIEXPRESS",""),"Choice","")))</x:f>
      </x:c>
      <x:c r="F19" s="28"/>
      <x:c r="G19" s="28"/>
      <x:c r="H19" s="28" t="str">
        <x:f>IF(G19="","",HYPERLINK(G19,"Abrir foto"))</x:f>
      </x:c>
      <x:c r="I19" s="28" t="str">
        <x:f>IF(G19="","Sem foto",IF(OR(ISNUMBER(SEARCH("logo",G19)),ISNUMBER(SEARCH("sprite",G19)),ISNUMBER(SEARCH("aliexpress",G19))),"Revisar foto","OK"))</x:f>
        <x:v>Sem foto</x:v>
      </x:c>
      <x:c r="J19" s="28"/>
      <x:c r="K19" s="30"/>
      <x:c r="L19" s="30"/>
      <x:c r="M19" s="30" t="str">
        <x:f>IF(K19="","",K19+IF(L19="",0,L19))</x:f>
      </x:c>
      <x:c r="N19" s="30"/>
      <x:c r="O19" s="30" t="str">
        <x:f>IF(OR(N19="",M19=""),"",N19-M19)</x:f>
      </x:c>
      <x:c r="P19" s="29" t="str">
        <x:f>IF(OR(N19="",O19=""),"",O19/N19)</x:f>
      </x:c>
      <x:c r="Q19" s="28"/>
      <x:c r="R19" s="28"/>
      <x:c r="S19" s="28"/>
      <x:c r="T19" s="28"/>
      <x:c r="U19" s="28"/>
      <x:c r="V19" s="32"/>
      <x:c r="W19" s="28" t="str">
        <x:f>IF(OR(ISNUMBER(SEARCH("aliexpress",D19)),ISNUMBER(SEARCH("aliexpress",X19))),"Revisar mencao","OK")</x:f>
        <x:v>OK</x:v>
      </x:c>
      <x:c r="X19" s="28"/>
    </x:row>
    <x:row r="20">
      <x:c r="A20" s="28"/>
      <x:c r="B20" s="28"/>
      <x:c r="C20" s="28"/>
      <x:c r="D20" s="28"/>
      <x:c r="E20" s="28" t="str">
        <x:f>IF(D20="","",TRIM(SUBSTITUTE(SUBSTITUTE(SUBSTITUTE(SUBSTITUTE(D20,"AliExpress",""),"aliexpress",""),"ALIEXPRESS",""),"Choice","")))</x:f>
      </x:c>
      <x:c r="F20" s="28"/>
      <x:c r="G20" s="28"/>
      <x:c r="H20" s="28" t="str">
        <x:f>IF(G20="","",HYPERLINK(G20,"Abrir foto"))</x:f>
      </x:c>
      <x:c r="I20" s="28" t="str">
        <x:f>IF(G20="","Sem foto",IF(OR(ISNUMBER(SEARCH("logo",G20)),ISNUMBER(SEARCH("sprite",G20)),ISNUMBER(SEARCH("aliexpress",G20))),"Revisar foto","OK"))</x:f>
        <x:v>Sem foto</x:v>
      </x:c>
      <x:c r="J20" s="28"/>
      <x:c r="K20" s="30"/>
      <x:c r="L20" s="30"/>
      <x:c r="M20" s="30" t="str">
        <x:f>IF(K20="","",K20+IF(L20="",0,L20))</x:f>
      </x:c>
      <x:c r="N20" s="30"/>
      <x:c r="O20" s="30" t="str">
        <x:f>IF(OR(N20="",M20=""),"",N20-M20)</x:f>
      </x:c>
      <x:c r="P20" s="29" t="str">
        <x:f>IF(OR(N20="",O20=""),"",O20/N20)</x:f>
      </x:c>
      <x:c r="Q20" s="28"/>
      <x:c r="R20" s="28"/>
      <x:c r="S20" s="28"/>
      <x:c r="T20" s="28"/>
      <x:c r="U20" s="28"/>
      <x:c r="V20" s="32"/>
      <x:c r="W20" s="28" t="str">
        <x:f>IF(OR(ISNUMBER(SEARCH("aliexpress",D20)),ISNUMBER(SEARCH("aliexpress",X20))),"Revisar mencao","OK")</x:f>
        <x:v>OK</x:v>
      </x:c>
      <x:c r="X20" s="28"/>
    </x:row>
    <x:row r="21">
      <x:c r="A21" s="28"/>
      <x:c r="B21" s="28"/>
      <x:c r="C21" s="28"/>
      <x:c r="D21" s="28"/>
      <x:c r="E21" s="28" t="str">
        <x:f>IF(D21="","",TRIM(SUBSTITUTE(SUBSTITUTE(SUBSTITUTE(SUBSTITUTE(D21,"AliExpress",""),"aliexpress",""),"ALIEXPRESS",""),"Choice","")))</x:f>
      </x:c>
      <x:c r="F21" s="28"/>
      <x:c r="G21" s="28"/>
      <x:c r="H21" s="28" t="str">
        <x:f>IF(G21="","",HYPERLINK(G21,"Abrir foto"))</x:f>
      </x:c>
      <x:c r="I21" s="28" t="str">
        <x:f>IF(G21="","Sem foto",IF(OR(ISNUMBER(SEARCH("logo",G21)),ISNUMBER(SEARCH("sprite",G21)),ISNUMBER(SEARCH("aliexpress",G21))),"Revisar foto","OK"))</x:f>
        <x:v>Sem foto</x:v>
      </x:c>
      <x:c r="J21" s="28"/>
      <x:c r="K21" s="30"/>
      <x:c r="L21" s="30"/>
      <x:c r="M21" s="30" t="str">
        <x:f>IF(K21="","",K21+IF(L21="",0,L21))</x:f>
      </x:c>
      <x:c r="N21" s="30"/>
      <x:c r="O21" s="30" t="str">
        <x:f>IF(OR(N21="",M21=""),"",N21-M21)</x:f>
      </x:c>
      <x:c r="P21" s="29" t="str">
        <x:f>IF(OR(N21="",O21=""),"",O21/N21)</x:f>
      </x:c>
      <x:c r="Q21" s="28"/>
      <x:c r="R21" s="28"/>
      <x:c r="S21" s="28"/>
      <x:c r="T21" s="28"/>
      <x:c r="U21" s="28"/>
      <x:c r="V21" s="32"/>
      <x:c r="W21" s="28" t="str">
        <x:f>IF(OR(ISNUMBER(SEARCH("aliexpress",D21)),ISNUMBER(SEARCH("aliexpress",X21))),"Revisar mencao","OK")</x:f>
        <x:v>OK</x:v>
      </x:c>
      <x:c r="X21" s="28"/>
    </x:row>
    <x:row r="22">
      <x:c r="A22" s="28"/>
      <x:c r="B22" s="28"/>
      <x:c r="C22" s="28"/>
      <x:c r="D22" s="28"/>
      <x:c r="E22" s="28" t="str">
        <x:f>IF(D22="","",TRIM(SUBSTITUTE(SUBSTITUTE(SUBSTITUTE(SUBSTITUTE(D22,"AliExpress",""),"aliexpress",""),"ALIEXPRESS",""),"Choice","")))</x:f>
      </x:c>
      <x:c r="F22" s="28"/>
      <x:c r="G22" s="28"/>
      <x:c r="H22" s="28" t="str">
        <x:f>IF(G22="","",HYPERLINK(G22,"Abrir foto"))</x:f>
      </x:c>
      <x:c r="I22" s="28" t="str">
        <x:f>IF(G22="","Sem foto",IF(OR(ISNUMBER(SEARCH("logo",G22)),ISNUMBER(SEARCH("sprite",G22)),ISNUMBER(SEARCH("aliexpress",G22))),"Revisar foto","OK"))</x:f>
        <x:v>Sem foto</x:v>
      </x:c>
      <x:c r="J22" s="28"/>
      <x:c r="K22" s="30"/>
      <x:c r="L22" s="30"/>
      <x:c r="M22" s="30" t="str">
        <x:f>IF(K22="","",K22+IF(L22="",0,L22))</x:f>
      </x:c>
      <x:c r="N22" s="30"/>
      <x:c r="O22" s="30" t="str">
        <x:f>IF(OR(N22="",M22=""),"",N22-M22)</x:f>
      </x:c>
      <x:c r="P22" s="29" t="str">
        <x:f>IF(OR(N22="",O22=""),"",O22/N22)</x:f>
      </x:c>
      <x:c r="Q22" s="28"/>
      <x:c r="R22" s="28"/>
      <x:c r="S22" s="28"/>
      <x:c r="T22" s="28"/>
      <x:c r="U22" s="28"/>
      <x:c r="V22" s="32"/>
      <x:c r="W22" s="28" t="str">
        <x:f>IF(OR(ISNUMBER(SEARCH("aliexpress",D22)),ISNUMBER(SEARCH("aliexpress",X22))),"Revisar mencao","OK")</x:f>
        <x:v>OK</x:v>
      </x:c>
      <x:c r="X22" s="28"/>
    </x:row>
    <x:row r="23">
      <x:c r="A23" s="28"/>
      <x:c r="B23" s="28"/>
      <x:c r="C23" s="28"/>
      <x:c r="D23" s="28"/>
      <x:c r="E23" s="28" t="str">
        <x:f>IF(D23="","",TRIM(SUBSTITUTE(SUBSTITUTE(SUBSTITUTE(SUBSTITUTE(D23,"AliExpress",""),"aliexpress",""),"ALIEXPRESS",""),"Choice","")))</x:f>
      </x:c>
      <x:c r="F23" s="28"/>
      <x:c r="G23" s="28"/>
      <x:c r="H23" s="28" t="str">
        <x:f>IF(G23="","",HYPERLINK(G23,"Abrir foto"))</x:f>
      </x:c>
      <x:c r="I23" s="28" t="str">
        <x:f>IF(G23="","Sem foto",IF(OR(ISNUMBER(SEARCH("logo",G23)),ISNUMBER(SEARCH("sprite",G23)),ISNUMBER(SEARCH("aliexpress",G23))),"Revisar foto","OK"))</x:f>
        <x:v>Sem foto</x:v>
      </x:c>
      <x:c r="J23" s="28"/>
      <x:c r="K23" s="30"/>
      <x:c r="L23" s="30"/>
      <x:c r="M23" s="30" t="str">
        <x:f>IF(K23="","",K23+IF(L23="",0,L23))</x:f>
      </x:c>
      <x:c r="N23" s="30"/>
      <x:c r="O23" s="30" t="str">
        <x:f>IF(OR(N23="",M23=""),"",N23-M23)</x:f>
      </x:c>
      <x:c r="P23" s="29" t="str">
        <x:f>IF(OR(N23="",O23=""),"",O23/N23)</x:f>
      </x:c>
      <x:c r="Q23" s="28"/>
      <x:c r="R23" s="28"/>
      <x:c r="S23" s="28"/>
      <x:c r="T23" s="28"/>
      <x:c r="U23" s="28"/>
      <x:c r="V23" s="32"/>
      <x:c r="W23" s="28" t="str">
        <x:f>IF(OR(ISNUMBER(SEARCH("aliexpress",D23)),ISNUMBER(SEARCH("aliexpress",X23))),"Revisar mencao","OK")</x:f>
        <x:v>OK</x:v>
      </x:c>
      <x:c r="X23" s="28"/>
    </x:row>
    <x:row r="24">
      <x:c r="A24" s="28"/>
      <x:c r="B24" s="28"/>
      <x:c r="C24" s="28"/>
      <x:c r="D24" s="28"/>
      <x:c r="E24" s="28" t="str">
        <x:f>IF(D24="","",TRIM(SUBSTITUTE(SUBSTITUTE(SUBSTITUTE(SUBSTITUTE(D24,"AliExpress",""),"aliexpress",""),"ALIEXPRESS",""),"Choice","")))</x:f>
      </x:c>
      <x:c r="F24" s="28"/>
      <x:c r="G24" s="28"/>
      <x:c r="H24" s="28" t="str">
        <x:f>IF(G24="","",HYPERLINK(G24,"Abrir foto"))</x:f>
      </x:c>
      <x:c r="I24" s="28" t="str">
        <x:f>IF(G24="","Sem foto",IF(OR(ISNUMBER(SEARCH("logo",G24)),ISNUMBER(SEARCH("sprite",G24)),ISNUMBER(SEARCH("aliexpress",G24))),"Revisar foto","OK"))</x:f>
        <x:v>Sem foto</x:v>
      </x:c>
      <x:c r="J24" s="28"/>
      <x:c r="K24" s="30"/>
      <x:c r="L24" s="30"/>
      <x:c r="M24" s="30" t="str">
        <x:f>IF(K24="","",K24+IF(L24="",0,L24))</x:f>
      </x:c>
      <x:c r="N24" s="30"/>
      <x:c r="O24" s="30" t="str">
        <x:f>IF(OR(N24="",M24=""),"",N24-M24)</x:f>
      </x:c>
      <x:c r="P24" s="29" t="str">
        <x:f>IF(OR(N24="",O24=""),"",O24/N24)</x:f>
      </x:c>
      <x:c r="Q24" s="28"/>
      <x:c r="R24" s="28"/>
      <x:c r="S24" s="28"/>
      <x:c r="T24" s="28"/>
      <x:c r="U24" s="28"/>
      <x:c r="V24" s="32"/>
      <x:c r="W24" s="28" t="str">
        <x:f>IF(OR(ISNUMBER(SEARCH("aliexpress",D24)),ISNUMBER(SEARCH("aliexpress",X24))),"Revisar mencao","OK")</x:f>
        <x:v>OK</x:v>
      </x:c>
      <x:c r="X24" s="28"/>
    </x:row>
    <x:row r="25">
      <x:c r="A25" s="28"/>
      <x:c r="B25" s="28"/>
      <x:c r="C25" s="28"/>
      <x:c r="D25" s="28"/>
      <x:c r="E25" s="28" t="str">
        <x:f>IF(D25="","",TRIM(SUBSTITUTE(SUBSTITUTE(SUBSTITUTE(SUBSTITUTE(D25,"AliExpress",""),"aliexpress",""),"ALIEXPRESS",""),"Choice","")))</x:f>
      </x:c>
      <x:c r="F25" s="28"/>
      <x:c r="G25" s="28"/>
      <x:c r="H25" s="28" t="str">
        <x:f>IF(G25="","",HYPERLINK(G25,"Abrir foto"))</x:f>
      </x:c>
      <x:c r="I25" s="28" t="str">
        <x:f>IF(G25="","Sem foto",IF(OR(ISNUMBER(SEARCH("logo",G25)),ISNUMBER(SEARCH("sprite",G25)),ISNUMBER(SEARCH("aliexpress",G25))),"Revisar foto","OK"))</x:f>
        <x:v>Sem foto</x:v>
      </x:c>
      <x:c r="J25" s="28"/>
      <x:c r="K25" s="30"/>
      <x:c r="L25" s="30"/>
      <x:c r="M25" s="30" t="str">
        <x:f>IF(K25="","",K25+IF(L25="",0,L25))</x:f>
      </x:c>
      <x:c r="N25" s="30"/>
      <x:c r="O25" s="30" t="str">
        <x:f>IF(OR(N25="",M25=""),"",N25-M25)</x:f>
      </x:c>
      <x:c r="P25" s="29" t="str">
        <x:f>IF(OR(N25="",O25=""),"",O25/N25)</x:f>
      </x:c>
      <x:c r="Q25" s="28"/>
      <x:c r="R25" s="28"/>
      <x:c r="S25" s="28"/>
      <x:c r="T25" s="28"/>
      <x:c r="U25" s="28"/>
      <x:c r="V25" s="32"/>
      <x:c r="W25" s="28" t="str">
        <x:f>IF(OR(ISNUMBER(SEARCH("aliexpress",D25)),ISNUMBER(SEARCH("aliexpress",X25))),"Revisar mencao","OK")</x:f>
        <x:v>OK</x:v>
      </x:c>
      <x:c r="X25" s="28"/>
    </x:row>
    <x:row r="26">
      <x:c r="A26" s="28"/>
      <x:c r="B26" s="28"/>
      <x:c r="C26" s="28"/>
      <x:c r="D26" s="28"/>
      <x:c r="E26" s="28" t="str">
        <x:f>IF(D26="","",TRIM(SUBSTITUTE(SUBSTITUTE(SUBSTITUTE(SUBSTITUTE(D26,"AliExpress",""),"aliexpress",""),"ALIEXPRESS",""),"Choice","")))</x:f>
      </x:c>
      <x:c r="F26" s="28"/>
      <x:c r="G26" s="28"/>
      <x:c r="H26" s="28" t="str">
        <x:f>IF(G26="","",HYPERLINK(G26,"Abrir foto"))</x:f>
      </x:c>
      <x:c r="I26" s="28" t="str">
        <x:f>IF(G26="","Sem foto",IF(OR(ISNUMBER(SEARCH("logo",G26)),ISNUMBER(SEARCH("sprite",G26)),ISNUMBER(SEARCH("aliexpress",G26))),"Revisar foto","OK"))</x:f>
        <x:v>Sem foto</x:v>
      </x:c>
      <x:c r="J26" s="28"/>
      <x:c r="K26" s="30"/>
      <x:c r="L26" s="30"/>
      <x:c r="M26" s="30" t="str">
        <x:f>IF(K26="","",K26+IF(L26="",0,L26))</x:f>
      </x:c>
      <x:c r="N26" s="30"/>
      <x:c r="O26" s="30" t="str">
        <x:f>IF(OR(N26="",M26=""),"",N26-M26)</x:f>
      </x:c>
      <x:c r="P26" s="29" t="str">
        <x:f>IF(OR(N26="",O26=""),"",O26/N26)</x:f>
      </x:c>
      <x:c r="Q26" s="28"/>
      <x:c r="R26" s="28"/>
      <x:c r="S26" s="28"/>
      <x:c r="T26" s="28"/>
      <x:c r="U26" s="28"/>
      <x:c r="V26" s="32"/>
      <x:c r="W26" s="28" t="str">
        <x:f>IF(OR(ISNUMBER(SEARCH("aliexpress",D26)),ISNUMBER(SEARCH("aliexpress",X26))),"Revisar mencao","OK")</x:f>
        <x:v>OK</x:v>
      </x:c>
      <x:c r="X26" s="28"/>
    </x:row>
    <x:row r="27">
      <x:c r="A27" s="28"/>
      <x:c r="B27" s="28"/>
      <x:c r="C27" s="28"/>
      <x:c r="D27" s="28"/>
      <x:c r="E27" s="28" t="str">
        <x:f>IF(D27="","",TRIM(SUBSTITUTE(SUBSTITUTE(SUBSTITUTE(SUBSTITUTE(D27,"AliExpress",""),"aliexpress",""),"ALIEXPRESS",""),"Choice","")))</x:f>
      </x:c>
      <x:c r="F27" s="28"/>
      <x:c r="G27" s="28"/>
      <x:c r="H27" s="28" t="str">
        <x:f>IF(G27="","",HYPERLINK(G27,"Abrir foto"))</x:f>
      </x:c>
      <x:c r="I27" s="28" t="str">
        <x:f>IF(G27="","Sem foto",IF(OR(ISNUMBER(SEARCH("logo",G27)),ISNUMBER(SEARCH("sprite",G27)),ISNUMBER(SEARCH("aliexpress",G27))),"Revisar foto","OK"))</x:f>
        <x:v>Sem foto</x:v>
      </x:c>
      <x:c r="J27" s="28"/>
      <x:c r="K27" s="30"/>
      <x:c r="L27" s="30"/>
      <x:c r="M27" s="30" t="str">
        <x:f>IF(K27="","",K27+IF(L27="",0,L27))</x:f>
      </x:c>
      <x:c r="N27" s="30"/>
      <x:c r="O27" s="30" t="str">
        <x:f>IF(OR(N27="",M27=""),"",N27-M27)</x:f>
      </x:c>
      <x:c r="P27" s="29" t="str">
        <x:f>IF(OR(N27="",O27=""),"",O27/N27)</x:f>
      </x:c>
      <x:c r="Q27" s="28"/>
      <x:c r="R27" s="28"/>
      <x:c r="S27" s="28"/>
      <x:c r="T27" s="28"/>
      <x:c r="U27" s="28"/>
      <x:c r="V27" s="32"/>
      <x:c r="W27" s="28" t="str">
        <x:f>IF(OR(ISNUMBER(SEARCH("aliexpress",D27)),ISNUMBER(SEARCH("aliexpress",X27))),"Revisar mencao","OK")</x:f>
        <x:v>OK</x:v>
      </x:c>
      <x:c r="X27" s="28"/>
    </x:row>
    <x:row r="28">
      <x:c r="A28" s="28"/>
      <x:c r="B28" s="28"/>
      <x:c r="C28" s="28"/>
      <x:c r="D28" s="28"/>
      <x:c r="E28" s="28" t="str">
        <x:f>IF(D28="","",TRIM(SUBSTITUTE(SUBSTITUTE(SUBSTITUTE(SUBSTITUTE(D28,"AliExpress",""),"aliexpress",""),"ALIEXPRESS",""),"Choice","")))</x:f>
      </x:c>
      <x:c r="F28" s="28"/>
      <x:c r="G28" s="28"/>
      <x:c r="H28" s="28" t="str">
        <x:f>IF(G28="","",HYPERLINK(G28,"Abrir foto"))</x:f>
      </x:c>
      <x:c r="I28" s="28" t="str">
        <x:f>IF(G28="","Sem foto",IF(OR(ISNUMBER(SEARCH("logo",G28)),ISNUMBER(SEARCH("sprite",G28)),ISNUMBER(SEARCH("aliexpress",G28))),"Revisar foto","OK"))</x:f>
        <x:v>Sem foto</x:v>
      </x:c>
      <x:c r="J28" s="28"/>
      <x:c r="K28" s="30"/>
      <x:c r="L28" s="30"/>
      <x:c r="M28" s="30" t="str">
        <x:f>IF(K28="","",K28+IF(L28="",0,L28))</x:f>
      </x:c>
      <x:c r="N28" s="30"/>
      <x:c r="O28" s="30" t="str">
        <x:f>IF(OR(N28="",M28=""),"",N28-M28)</x:f>
      </x:c>
      <x:c r="P28" s="29" t="str">
        <x:f>IF(OR(N28="",O28=""),"",O28/N28)</x:f>
      </x:c>
      <x:c r="Q28" s="28"/>
      <x:c r="R28" s="28"/>
      <x:c r="S28" s="28"/>
      <x:c r="T28" s="28"/>
      <x:c r="U28" s="28"/>
      <x:c r="V28" s="32"/>
      <x:c r="W28" s="28" t="str">
        <x:f>IF(OR(ISNUMBER(SEARCH("aliexpress",D28)),ISNUMBER(SEARCH("aliexpress",X28))),"Revisar mencao","OK")</x:f>
        <x:v>OK</x:v>
      </x:c>
      <x:c r="X28" s="28"/>
    </x:row>
    <x:row r="29">
      <x:c r="A29" s="28"/>
      <x:c r="B29" s="28"/>
      <x:c r="C29" s="28"/>
      <x:c r="D29" s="28"/>
      <x:c r="E29" s="28" t="str">
        <x:f>IF(D29="","",TRIM(SUBSTITUTE(SUBSTITUTE(SUBSTITUTE(SUBSTITUTE(D29,"AliExpress",""),"aliexpress",""),"ALIEXPRESS",""),"Choice","")))</x:f>
      </x:c>
      <x:c r="F29" s="28"/>
      <x:c r="G29" s="28"/>
      <x:c r="H29" s="28" t="str">
        <x:f>IF(G29="","",HYPERLINK(G29,"Abrir foto"))</x:f>
      </x:c>
      <x:c r="I29" s="28" t="str">
        <x:f>IF(G29="","Sem foto",IF(OR(ISNUMBER(SEARCH("logo",G29)),ISNUMBER(SEARCH("sprite",G29)),ISNUMBER(SEARCH("aliexpress",G29))),"Revisar foto","OK"))</x:f>
        <x:v>Sem foto</x:v>
      </x:c>
      <x:c r="J29" s="28"/>
      <x:c r="K29" s="30"/>
      <x:c r="L29" s="30"/>
      <x:c r="M29" s="30" t="str">
        <x:f>IF(K29="","",K29+IF(L29="",0,L29))</x:f>
      </x:c>
      <x:c r="N29" s="30"/>
      <x:c r="O29" s="30" t="str">
        <x:f>IF(OR(N29="",M29=""),"",N29-M29)</x:f>
      </x:c>
      <x:c r="P29" s="29" t="str">
        <x:f>IF(OR(N29="",O29=""),"",O29/N29)</x:f>
      </x:c>
      <x:c r="Q29" s="28"/>
      <x:c r="R29" s="28"/>
      <x:c r="S29" s="28"/>
      <x:c r="T29" s="28"/>
      <x:c r="U29" s="28"/>
      <x:c r="V29" s="32"/>
      <x:c r="W29" s="28" t="str">
        <x:f>IF(OR(ISNUMBER(SEARCH("aliexpress",D29)),ISNUMBER(SEARCH("aliexpress",X29))),"Revisar mencao","OK")</x:f>
        <x:v>OK</x:v>
      </x:c>
      <x:c r="X29" s="28"/>
    </x:row>
    <x:row r="30">
      <x:c r="A30" s="28"/>
      <x:c r="B30" s="28"/>
      <x:c r="C30" s="28"/>
      <x:c r="D30" s="28"/>
      <x:c r="E30" s="28" t="str">
        <x:f>IF(D30="","",TRIM(SUBSTITUTE(SUBSTITUTE(SUBSTITUTE(SUBSTITUTE(D30,"AliExpress",""),"aliexpress",""),"ALIEXPRESS",""),"Choice","")))</x:f>
      </x:c>
      <x:c r="F30" s="28"/>
      <x:c r="G30" s="28"/>
      <x:c r="H30" s="28" t="str">
        <x:f>IF(G30="","",HYPERLINK(G30,"Abrir foto"))</x:f>
      </x:c>
      <x:c r="I30" s="28" t="str">
        <x:f>IF(G30="","Sem foto",IF(OR(ISNUMBER(SEARCH("logo",G30)),ISNUMBER(SEARCH("sprite",G30)),ISNUMBER(SEARCH("aliexpress",G30))),"Revisar foto","OK"))</x:f>
        <x:v>Sem foto</x:v>
      </x:c>
      <x:c r="J30" s="28"/>
      <x:c r="K30" s="30"/>
      <x:c r="L30" s="30"/>
      <x:c r="M30" s="30" t="str">
        <x:f>IF(K30="","",K30+IF(L30="",0,L30))</x:f>
      </x:c>
      <x:c r="N30" s="30"/>
      <x:c r="O30" s="30" t="str">
        <x:f>IF(OR(N30="",M30=""),"",N30-M30)</x:f>
      </x:c>
      <x:c r="P30" s="29" t="str">
        <x:f>IF(OR(N30="",O30=""),"",O30/N30)</x:f>
      </x:c>
      <x:c r="Q30" s="28"/>
      <x:c r="R30" s="28"/>
      <x:c r="S30" s="28"/>
      <x:c r="T30" s="28"/>
      <x:c r="U30" s="28"/>
      <x:c r="V30" s="32"/>
      <x:c r="W30" s="28" t="str">
        <x:f>IF(OR(ISNUMBER(SEARCH("aliexpress",D30)),ISNUMBER(SEARCH("aliexpress",X30))),"Revisar mencao","OK")</x:f>
        <x:v>OK</x:v>
      </x:c>
      <x:c r="X30" s="28"/>
    </x:row>
    <x:row r="31">
      <x:c r="A31" s="28"/>
      <x:c r="B31" s="28"/>
      <x:c r="C31" s="28"/>
      <x:c r="D31" s="28"/>
      <x:c r="E31" s="28" t="str">
        <x:f>IF(D31="","",TRIM(SUBSTITUTE(SUBSTITUTE(SUBSTITUTE(SUBSTITUTE(D31,"AliExpress",""),"aliexpress",""),"ALIEXPRESS",""),"Choice","")))</x:f>
      </x:c>
      <x:c r="F31" s="28"/>
      <x:c r="G31" s="28"/>
      <x:c r="H31" s="28" t="str">
        <x:f>IF(G31="","",HYPERLINK(G31,"Abrir foto"))</x:f>
      </x:c>
      <x:c r="I31" s="28" t="str">
        <x:f>IF(G31="","Sem foto",IF(OR(ISNUMBER(SEARCH("logo",G31)),ISNUMBER(SEARCH("sprite",G31)),ISNUMBER(SEARCH("aliexpress",G31))),"Revisar foto","OK"))</x:f>
        <x:v>Sem foto</x:v>
      </x:c>
      <x:c r="J31" s="28"/>
      <x:c r="K31" s="30"/>
      <x:c r="L31" s="30"/>
      <x:c r="M31" s="30" t="str">
        <x:f>IF(K31="","",K31+IF(L31="",0,L31))</x:f>
      </x:c>
      <x:c r="N31" s="30"/>
      <x:c r="O31" s="30" t="str">
        <x:f>IF(OR(N31="",M31=""),"",N31-M31)</x:f>
      </x:c>
      <x:c r="P31" s="29" t="str">
        <x:f>IF(OR(N31="",O31=""),"",O31/N31)</x:f>
      </x:c>
      <x:c r="Q31" s="28"/>
      <x:c r="R31" s="28"/>
      <x:c r="S31" s="28"/>
      <x:c r="T31" s="28"/>
      <x:c r="U31" s="28"/>
      <x:c r="V31" s="32"/>
      <x:c r="W31" s="28" t="str">
        <x:f>IF(OR(ISNUMBER(SEARCH("aliexpress",D31)),ISNUMBER(SEARCH("aliexpress",X31))),"Revisar mencao","OK")</x:f>
        <x:v>OK</x:v>
      </x:c>
      <x:c r="X31" s="28"/>
    </x:row>
    <x:row r="32">
      <x:c r="A32" s="28"/>
      <x:c r="B32" s="28"/>
      <x:c r="C32" s="28"/>
      <x:c r="D32" s="28"/>
      <x:c r="E32" s="28" t="str">
        <x:f>IF(D32="","",TRIM(SUBSTITUTE(SUBSTITUTE(SUBSTITUTE(SUBSTITUTE(D32,"AliExpress",""),"aliexpress",""),"ALIEXPRESS",""),"Choice","")))</x:f>
      </x:c>
      <x:c r="F32" s="28"/>
      <x:c r="G32" s="28"/>
      <x:c r="H32" s="28" t="str">
        <x:f>IF(G32="","",HYPERLINK(G32,"Abrir foto"))</x:f>
      </x:c>
      <x:c r="I32" s="28" t="str">
        <x:f>IF(G32="","Sem foto",IF(OR(ISNUMBER(SEARCH("logo",G32)),ISNUMBER(SEARCH("sprite",G32)),ISNUMBER(SEARCH("aliexpress",G32))),"Revisar foto","OK"))</x:f>
        <x:v>Sem foto</x:v>
      </x:c>
      <x:c r="J32" s="28"/>
      <x:c r="K32" s="30"/>
      <x:c r="L32" s="30"/>
      <x:c r="M32" s="30" t="str">
        <x:f>IF(K32="","",K32+IF(L32="",0,L32))</x:f>
      </x:c>
      <x:c r="N32" s="30"/>
      <x:c r="O32" s="30" t="str">
        <x:f>IF(OR(N32="",M32=""),"",N32-M32)</x:f>
      </x:c>
      <x:c r="P32" s="29" t="str">
        <x:f>IF(OR(N32="",O32=""),"",O32/N32)</x:f>
      </x:c>
      <x:c r="Q32" s="28"/>
      <x:c r="R32" s="28"/>
      <x:c r="S32" s="28"/>
      <x:c r="T32" s="28"/>
      <x:c r="U32" s="28"/>
      <x:c r="V32" s="32"/>
      <x:c r="W32" s="28" t="str">
        <x:f>IF(OR(ISNUMBER(SEARCH("aliexpress",D32)),ISNUMBER(SEARCH("aliexpress",X32))),"Revisar mencao","OK")</x:f>
        <x:v>OK</x:v>
      </x:c>
      <x:c r="X32" s="28"/>
    </x:row>
    <x:row r="33">
      <x:c r="A33" s="28"/>
      <x:c r="B33" s="28"/>
      <x:c r="C33" s="28"/>
      <x:c r="D33" s="28"/>
      <x:c r="E33" s="28" t="str">
        <x:f>IF(D33="","",TRIM(SUBSTITUTE(SUBSTITUTE(SUBSTITUTE(SUBSTITUTE(D33,"AliExpress",""),"aliexpress",""),"ALIEXPRESS",""),"Choice","")))</x:f>
      </x:c>
      <x:c r="F33" s="28"/>
      <x:c r="G33" s="28"/>
      <x:c r="H33" s="28" t="str">
        <x:f>IF(G33="","",HYPERLINK(G33,"Abrir foto"))</x:f>
      </x:c>
      <x:c r="I33" s="28" t="str">
        <x:f>IF(G33="","Sem foto",IF(OR(ISNUMBER(SEARCH("logo",G33)),ISNUMBER(SEARCH("sprite",G33)),ISNUMBER(SEARCH("aliexpress",G33))),"Revisar foto","OK"))</x:f>
        <x:v>Sem foto</x:v>
      </x:c>
      <x:c r="J33" s="28"/>
      <x:c r="K33" s="30"/>
      <x:c r="L33" s="30"/>
      <x:c r="M33" s="30" t="str">
        <x:f>IF(K33="","",K33+IF(L33="",0,L33))</x:f>
      </x:c>
      <x:c r="N33" s="30"/>
      <x:c r="O33" s="30" t="str">
        <x:f>IF(OR(N33="",M33=""),"",N33-M33)</x:f>
      </x:c>
      <x:c r="P33" s="29" t="str">
        <x:f>IF(OR(N33="",O33=""),"",O33/N33)</x:f>
      </x:c>
      <x:c r="Q33" s="28"/>
      <x:c r="R33" s="28"/>
      <x:c r="S33" s="28"/>
      <x:c r="T33" s="28"/>
      <x:c r="U33" s="28"/>
      <x:c r="V33" s="32"/>
      <x:c r="W33" s="28" t="str">
        <x:f>IF(OR(ISNUMBER(SEARCH("aliexpress",D33)),ISNUMBER(SEARCH("aliexpress",X33))),"Revisar mencao","OK")</x:f>
        <x:v>OK</x:v>
      </x:c>
      <x:c r="X33" s="28"/>
    </x:row>
    <x:row r="34">
      <x:c r="A34" s="28"/>
      <x:c r="B34" s="28"/>
      <x:c r="C34" s="28"/>
      <x:c r="D34" s="28"/>
      <x:c r="E34" s="28" t="str">
        <x:f>IF(D34="","",TRIM(SUBSTITUTE(SUBSTITUTE(SUBSTITUTE(SUBSTITUTE(D34,"AliExpress",""),"aliexpress",""),"ALIEXPRESS",""),"Choice","")))</x:f>
      </x:c>
      <x:c r="F34" s="28"/>
      <x:c r="G34" s="28"/>
      <x:c r="H34" s="28" t="str">
        <x:f>IF(G34="","",HYPERLINK(G34,"Abrir foto"))</x:f>
      </x:c>
      <x:c r="I34" s="28" t="str">
        <x:f>IF(G34="","Sem foto",IF(OR(ISNUMBER(SEARCH("logo",G34)),ISNUMBER(SEARCH("sprite",G34)),ISNUMBER(SEARCH("aliexpress",G34))),"Revisar foto","OK"))</x:f>
        <x:v>Sem foto</x:v>
      </x:c>
      <x:c r="J34" s="28"/>
      <x:c r="K34" s="30"/>
      <x:c r="L34" s="30"/>
      <x:c r="M34" s="30" t="str">
        <x:f>IF(K34="","",K34+IF(L34="",0,L34))</x:f>
      </x:c>
      <x:c r="N34" s="30"/>
      <x:c r="O34" s="30" t="str">
        <x:f>IF(OR(N34="",M34=""),"",N34-M34)</x:f>
      </x:c>
      <x:c r="P34" s="29" t="str">
        <x:f>IF(OR(N34="",O34=""),"",O34/N34)</x:f>
      </x:c>
      <x:c r="Q34" s="28"/>
      <x:c r="R34" s="28"/>
      <x:c r="S34" s="28"/>
      <x:c r="T34" s="28"/>
      <x:c r="U34" s="28"/>
      <x:c r="V34" s="32"/>
      <x:c r="W34" s="28" t="str">
        <x:f>IF(OR(ISNUMBER(SEARCH("aliexpress",D34)),ISNUMBER(SEARCH("aliexpress",X34))),"Revisar mencao","OK")</x:f>
        <x:v>OK</x:v>
      </x:c>
      <x:c r="X34" s="28"/>
    </x:row>
    <x:row r="35">
      <x:c r="A35" s="28"/>
      <x:c r="B35" s="28"/>
      <x:c r="C35" s="28"/>
      <x:c r="D35" s="28"/>
      <x:c r="E35" s="28" t="str">
        <x:f>IF(D35="","",TRIM(SUBSTITUTE(SUBSTITUTE(SUBSTITUTE(SUBSTITUTE(D35,"AliExpress",""),"aliexpress",""),"ALIEXPRESS",""),"Choice","")))</x:f>
      </x:c>
      <x:c r="F35" s="28"/>
      <x:c r="G35" s="28"/>
      <x:c r="H35" s="28" t="str">
        <x:f>IF(G35="","",HYPERLINK(G35,"Abrir foto"))</x:f>
      </x:c>
      <x:c r="I35" s="28" t="str">
        <x:f>IF(G35="","Sem foto",IF(OR(ISNUMBER(SEARCH("logo",G35)),ISNUMBER(SEARCH("sprite",G35)),ISNUMBER(SEARCH("aliexpress",G35))),"Revisar foto","OK"))</x:f>
        <x:v>Sem foto</x:v>
      </x:c>
      <x:c r="J35" s="28"/>
      <x:c r="K35" s="30"/>
      <x:c r="L35" s="30"/>
      <x:c r="M35" s="30" t="str">
        <x:f>IF(K35="","",K35+IF(L35="",0,L35))</x:f>
      </x:c>
      <x:c r="N35" s="30"/>
      <x:c r="O35" s="30" t="str">
        <x:f>IF(OR(N35="",M35=""),"",N35-M35)</x:f>
      </x:c>
      <x:c r="P35" s="29" t="str">
        <x:f>IF(OR(N35="",O35=""),"",O35/N35)</x:f>
      </x:c>
      <x:c r="Q35" s="28"/>
      <x:c r="R35" s="28"/>
      <x:c r="S35" s="28"/>
      <x:c r="T35" s="28"/>
      <x:c r="U35" s="28"/>
      <x:c r="V35" s="32"/>
      <x:c r="W35" s="28" t="str">
        <x:f>IF(OR(ISNUMBER(SEARCH("aliexpress",D35)),ISNUMBER(SEARCH("aliexpress",X35))),"Revisar mencao","OK")</x:f>
        <x:v>OK</x:v>
      </x:c>
      <x:c r="X35" s="28"/>
    </x:row>
    <x:row r="36">
      <x:c r="A36" s="28"/>
      <x:c r="B36" s="28"/>
      <x:c r="C36" s="28"/>
      <x:c r="D36" s="28"/>
      <x:c r="E36" s="28" t="str">
        <x:f>IF(D36="","",TRIM(SUBSTITUTE(SUBSTITUTE(SUBSTITUTE(SUBSTITUTE(D36,"AliExpress",""),"aliexpress",""),"ALIEXPRESS",""),"Choice","")))</x:f>
      </x:c>
      <x:c r="F36" s="28"/>
      <x:c r="G36" s="28"/>
      <x:c r="H36" s="28" t="str">
        <x:f>IF(G36="","",HYPERLINK(G36,"Abrir foto"))</x:f>
      </x:c>
      <x:c r="I36" s="28" t="str">
        <x:f>IF(G36="","Sem foto",IF(OR(ISNUMBER(SEARCH("logo",G36)),ISNUMBER(SEARCH("sprite",G36)),ISNUMBER(SEARCH("aliexpress",G36))),"Revisar foto","OK"))</x:f>
        <x:v>Sem foto</x:v>
      </x:c>
      <x:c r="J36" s="28"/>
      <x:c r="K36" s="30"/>
      <x:c r="L36" s="30"/>
      <x:c r="M36" s="30" t="str">
        <x:f>IF(K36="","",K36+IF(L36="",0,L36))</x:f>
      </x:c>
      <x:c r="N36" s="30"/>
      <x:c r="O36" s="30" t="str">
        <x:f>IF(OR(N36="",M36=""),"",N36-M36)</x:f>
      </x:c>
      <x:c r="P36" s="29" t="str">
        <x:f>IF(OR(N36="",O36=""),"",O36/N36)</x:f>
      </x:c>
      <x:c r="Q36" s="28"/>
      <x:c r="R36" s="28"/>
      <x:c r="S36" s="28"/>
      <x:c r="T36" s="28"/>
      <x:c r="U36" s="28"/>
      <x:c r="V36" s="32"/>
      <x:c r="W36" s="28" t="str">
        <x:f>IF(OR(ISNUMBER(SEARCH("aliexpress",D36)),ISNUMBER(SEARCH("aliexpress",X36))),"Revisar mencao","OK")</x:f>
        <x:v>OK</x:v>
      </x:c>
      <x:c r="X36" s="28"/>
    </x:row>
    <x:row r="37">
      <x:c r="A37" s="28"/>
      <x:c r="B37" s="28"/>
      <x:c r="C37" s="28"/>
      <x:c r="D37" s="28"/>
      <x:c r="E37" s="28" t="str">
        <x:f>IF(D37="","",TRIM(SUBSTITUTE(SUBSTITUTE(SUBSTITUTE(SUBSTITUTE(D37,"AliExpress",""),"aliexpress",""),"ALIEXPRESS",""),"Choice","")))</x:f>
      </x:c>
      <x:c r="F37" s="28"/>
      <x:c r="G37" s="28"/>
      <x:c r="H37" s="28" t="str">
        <x:f>IF(G37="","",HYPERLINK(G37,"Abrir foto"))</x:f>
      </x:c>
      <x:c r="I37" s="28" t="str">
        <x:f>IF(G37="","Sem foto",IF(OR(ISNUMBER(SEARCH("logo",G37)),ISNUMBER(SEARCH("sprite",G37)),ISNUMBER(SEARCH("aliexpress",G37))),"Revisar foto","OK"))</x:f>
        <x:v>Sem foto</x:v>
      </x:c>
      <x:c r="J37" s="28"/>
      <x:c r="K37" s="30"/>
      <x:c r="L37" s="30"/>
      <x:c r="M37" s="30" t="str">
        <x:f>IF(K37="","",K37+IF(L37="",0,L37))</x:f>
      </x:c>
      <x:c r="N37" s="30"/>
      <x:c r="O37" s="30" t="str">
        <x:f>IF(OR(N37="",M37=""),"",N37-M37)</x:f>
      </x:c>
      <x:c r="P37" s="29" t="str">
        <x:f>IF(OR(N37="",O37=""),"",O37/N37)</x:f>
      </x:c>
      <x:c r="Q37" s="28"/>
      <x:c r="R37" s="28"/>
      <x:c r="S37" s="28"/>
      <x:c r="T37" s="28"/>
      <x:c r="U37" s="28"/>
      <x:c r="V37" s="32"/>
      <x:c r="W37" s="28" t="str">
        <x:f>IF(OR(ISNUMBER(SEARCH("aliexpress",D37)),ISNUMBER(SEARCH("aliexpress",X37))),"Revisar mencao","OK")</x:f>
        <x:v>OK</x:v>
      </x:c>
      <x:c r="X37" s="28"/>
    </x:row>
    <x:row r="38">
      <x:c r="A38" s="28"/>
      <x:c r="B38" s="28"/>
      <x:c r="C38" s="28"/>
      <x:c r="D38" s="28"/>
      <x:c r="E38" s="28" t="str">
        <x:f>IF(D38="","",TRIM(SUBSTITUTE(SUBSTITUTE(SUBSTITUTE(SUBSTITUTE(D38,"AliExpress",""),"aliexpress",""),"ALIEXPRESS",""),"Choice","")))</x:f>
      </x:c>
      <x:c r="F38" s="28"/>
      <x:c r="G38" s="28"/>
      <x:c r="H38" s="28" t="str">
        <x:f>IF(G38="","",HYPERLINK(G38,"Abrir foto"))</x:f>
      </x:c>
      <x:c r="I38" s="28" t="str">
        <x:f>IF(G38="","Sem foto",IF(OR(ISNUMBER(SEARCH("logo",G38)),ISNUMBER(SEARCH("sprite",G38)),ISNUMBER(SEARCH("aliexpress",G38))),"Revisar foto","OK"))</x:f>
        <x:v>Sem foto</x:v>
      </x:c>
      <x:c r="J38" s="28"/>
      <x:c r="K38" s="30"/>
      <x:c r="L38" s="30"/>
      <x:c r="M38" s="30" t="str">
        <x:f>IF(K38="","",K38+IF(L38="",0,L38))</x:f>
      </x:c>
      <x:c r="N38" s="30"/>
      <x:c r="O38" s="30" t="str">
        <x:f>IF(OR(N38="",M38=""),"",N38-M38)</x:f>
      </x:c>
      <x:c r="P38" s="29" t="str">
        <x:f>IF(OR(N38="",O38=""),"",O38/N38)</x:f>
      </x:c>
      <x:c r="Q38" s="28"/>
      <x:c r="R38" s="28"/>
      <x:c r="S38" s="28"/>
      <x:c r="T38" s="28"/>
      <x:c r="U38" s="28"/>
      <x:c r="V38" s="32"/>
      <x:c r="W38" s="28" t="str">
        <x:f>IF(OR(ISNUMBER(SEARCH("aliexpress",D38)),ISNUMBER(SEARCH("aliexpress",X38))),"Revisar mencao","OK")</x:f>
        <x:v>OK</x:v>
      </x:c>
      <x:c r="X38" s="28"/>
    </x:row>
    <x:row r="39">
      <x:c r="A39" s="28"/>
      <x:c r="B39" s="28"/>
      <x:c r="C39" s="28"/>
      <x:c r="D39" s="28"/>
      <x:c r="E39" s="28" t="str">
        <x:f>IF(D39="","",TRIM(SUBSTITUTE(SUBSTITUTE(SUBSTITUTE(SUBSTITUTE(D39,"AliExpress",""),"aliexpress",""),"ALIEXPRESS",""),"Choice","")))</x:f>
      </x:c>
      <x:c r="F39" s="28"/>
      <x:c r="G39" s="28"/>
      <x:c r="H39" s="28" t="str">
        <x:f>IF(G39="","",HYPERLINK(G39,"Abrir foto"))</x:f>
      </x:c>
      <x:c r="I39" s="28" t="str">
        <x:f>IF(G39="","Sem foto",IF(OR(ISNUMBER(SEARCH("logo",G39)),ISNUMBER(SEARCH("sprite",G39)),ISNUMBER(SEARCH("aliexpress",G39))),"Revisar foto","OK"))</x:f>
        <x:v>Sem foto</x:v>
      </x:c>
      <x:c r="J39" s="28"/>
      <x:c r="K39" s="30"/>
      <x:c r="L39" s="30"/>
      <x:c r="M39" s="30" t="str">
        <x:f>IF(K39="","",K39+IF(L39="",0,L39))</x:f>
      </x:c>
      <x:c r="N39" s="30"/>
      <x:c r="O39" s="30" t="str">
        <x:f>IF(OR(N39="",M39=""),"",N39-M39)</x:f>
      </x:c>
      <x:c r="P39" s="29" t="str">
        <x:f>IF(OR(N39="",O39=""),"",O39/N39)</x:f>
      </x:c>
      <x:c r="Q39" s="28"/>
      <x:c r="R39" s="28"/>
      <x:c r="S39" s="28"/>
      <x:c r="T39" s="28"/>
      <x:c r="U39" s="28"/>
      <x:c r="V39" s="32"/>
      <x:c r="W39" s="28" t="str">
        <x:f>IF(OR(ISNUMBER(SEARCH("aliexpress",D39)),ISNUMBER(SEARCH("aliexpress",X39))),"Revisar mencao","OK")</x:f>
        <x:v>OK</x:v>
      </x:c>
      <x:c r="X39" s="28"/>
    </x:row>
    <x:row r="40">
      <x:c r="A40" s="28"/>
      <x:c r="B40" s="28"/>
      <x:c r="C40" s="28"/>
      <x:c r="D40" s="28"/>
      <x:c r="E40" s="28" t="str">
        <x:f>IF(D40="","",TRIM(SUBSTITUTE(SUBSTITUTE(SUBSTITUTE(SUBSTITUTE(D40,"AliExpress",""),"aliexpress",""),"ALIEXPRESS",""),"Choice","")))</x:f>
      </x:c>
      <x:c r="F40" s="28"/>
      <x:c r="G40" s="28"/>
      <x:c r="H40" s="28" t="str">
        <x:f>IF(G40="","",HYPERLINK(G40,"Abrir foto"))</x:f>
      </x:c>
      <x:c r="I40" s="28" t="str">
        <x:f>IF(G40="","Sem foto",IF(OR(ISNUMBER(SEARCH("logo",G40)),ISNUMBER(SEARCH("sprite",G40)),ISNUMBER(SEARCH("aliexpress",G40))),"Revisar foto","OK"))</x:f>
        <x:v>Sem foto</x:v>
      </x:c>
      <x:c r="J40" s="28"/>
      <x:c r="K40" s="30"/>
      <x:c r="L40" s="30"/>
      <x:c r="M40" s="30" t="str">
        <x:f>IF(K40="","",K40+IF(L40="",0,L40))</x:f>
      </x:c>
      <x:c r="N40" s="30"/>
      <x:c r="O40" s="30" t="str">
        <x:f>IF(OR(N40="",M40=""),"",N40-M40)</x:f>
      </x:c>
      <x:c r="P40" s="29" t="str">
        <x:f>IF(OR(N40="",O40=""),"",O40/N40)</x:f>
      </x:c>
      <x:c r="Q40" s="28"/>
      <x:c r="R40" s="28"/>
      <x:c r="S40" s="28"/>
      <x:c r="T40" s="28"/>
      <x:c r="U40" s="28"/>
      <x:c r="V40" s="32"/>
      <x:c r="W40" s="28" t="str">
        <x:f>IF(OR(ISNUMBER(SEARCH("aliexpress",D40)),ISNUMBER(SEARCH("aliexpress",X40))),"Revisar mencao","OK")</x:f>
        <x:v>OK</x:v>
      </x:c>
      <x:c r="X40" s="28"/>
    </x:row>
    <x:row r="41">
      <x:c r="A41" s="28"/>
      <x:c r="B41" s="28"/>
      <x:c r="C41" s="28"/>
      <x:c r="D41" s="28"/>
      <x:c r="E41" s="28" t="str">
        <x:f>IF(D41="","",TRIM(SUBSTITUTE(SUBSTITUTE(SUBSTITUTE(SUBSTITUTE(D41,"AliExpress",""),"aliexpress",""),"ALIEXPRESS",""),"Choice","")))</x:f>
      </x:c>
      <x:c r="F41" s="28"/>
      <x:c r="G41" s="28"/>
      <x:c r="H41" s="28" t="str">
        <x:f>IF(G41="","",HYPERLINK(G41,"Abrir foto"))</x:f>
      </x:c>
      <x:c r="I41" s="28" t="str">
        <x:f>IF(G41="","Sem foto",IF(OR(ISNUMBER(SEARCH("logo",G41)),ISNUMBER(SEARCH("sprite",G41)),ISNUMBER(SEARCH("aliexpress",G41))),"Revisar foto","OK"))</x:f>
        <x:v>Sem foto</x:v>
      </x:c>
      <x:c r="J41" s="28"/>
      <x:c r="K41" s="30"/>
      <x:c r="L41" s="30"/>
      <x:c r="M41" s="30" t="str">
        <x:f>IF(K41="","",K41+IF(L41="",0,L41))</x:f>
      </x:c>
      <x:c r="N41" s="30"/>
      <x:c r="O41" s="30" t="str">
        <x:f>IF(OR(N41="",M41=""),"",N41-M41)</x:f>
      </x:c>
      <x:c r="P41" s="29" t="str">
        <x:f>IF(OR(N41="",O41=""),"",O41/N41)</x:f>
      </x:c>
      <x:c r="Q41" s="28"/>
      <x:c r="R41" s="28"/>
      <x:c r="S41" s="28"/>
      <x:c r="T41" s="28"/>
      <x:c r="U41" s="28"/>
      <x:c r="V41" s="32"/>
      <x:c r="W41" s="28" t="str">
        <x:f>IF(OR(ISNUMBER(SEARCH("aliexpress",D41)),ISNUMBER(SEARCH("aliexpress",X41))),"Revisar mencao","OK")</x:f>
        <x:v>OK</x:v>
      </x:c>
      <x:c r="X41" s="28"/>
    </x:row>
    <x:row r="42">
      <x:c r="A42" s="28"/>
      <x:c r="B42" s="28"/>
      <x:c r="C42" s="28"/>
      <x:c r="D42" s="28"/>
      <x:c r="E42" s="28" t="str">
        <x:f>IF(D42="","",TRIM(SUBSTITUTE(SUBSTITUTE(SUBSTITUTE(SUBSTITUTE(D42,"AliExpress",""),"aliexpress",""),"ALIEXPRESS",""),"Choice","")))</x:f>
      </x:c>
      <x:c r="F42" s="28"/>
      <x:c r="G42" s="28"/>
      <x:c r="H42" s="28" t="str">
        <x:f>IF(G42="","",HYPERLINK(G42,"Abrir foto"))</x:f>
      </x:c>
      <x:c r="I42" s="28" t="str">
        <x:f>IF(G42="","Sem foto",IF(OR(ISNUMBER(SEARCH("logo",G42)),ISNUMBER(SEARCH("sprite",G42)),ISNUMBER(SEARCH("aliexpress",G42))),"Revisar foto","OK"))</x:f>
        <x:v>Sem foto</x:v>
      </x:c>
      <x:c r="J42" s="28"/>
      <x:c r="K42" s="30"/>
      <x:c r="L42" s="30"/>
      <x:c r="M42" s="30" t="str">
        <x:f>IF(K42="","",K42+IF(L42="",0,L42))</x:f>
      </x:c>
      <x:c r="N42" s="30"/>
      <x:c r="O42" s="30" t="str">
        <x:f>IF(OR(N42="",M42=""),"",N42-M42)</x:f>
      </x:c>
      <x:c r="P42" s="29" t="str">
        <x:f>IF(OR(N42="",O42=""),"",O42/N42)</x:f>
      </x:c>
      <x:c r="Q42" s="28"/>
      <x:c r="R42" s="28"/>
      <x:c r="S42" s="28"/>
      <x:c r="T42" s="28"/>
      <x:c r="U42" s="28"/>
      <x:c r="V42" s="32"/>
      <x:c r="W42" s="28" t="str">
        <x:f>IF(OR(ISNUMBER(SEARCH("aliexpress",D42)),ISNUMBER(SEARCH("aliexpress",X42))),"Revisar mencao","OK")</x:f>
        <x:v>OK</x:v>
      </x:c>
      <x:c r="X42" s="28"/>
    </x:row>
    <x:row r="43">
      <x:c r="A43" s="28"/>
      <x:c r="B43" s="28"/>
      <x:c r="C43" s="28"/>
      <x:c r="D43" s="28"/>
      <x:c r="E43" s="28" t="str">
        <x:f>IF(D43="","",TRIM(SUBSTITUTE(SUBSTITUTE(SUBSTITUTE(SUBSTITUTE(D43,"AliExpress",""),"aliexpress",""),"ALIEXPRESS",""),"Choice","")))</x:f>
      </x:c>
      <x:c r="F43" s="28"/>
      <x:c r="G43" s="28"/>
      <x:c r="H43" s="28" t="str">
        <x:f>IF(G43="","",HYPERLINK(G43,"Abrir foto"))</x:f>
      </x:c>
      <x:c r="I43" s="28" t="str">
        <x:f>IF(G43="","Sem foto",IF(OR(ISNUMBER(SEARCH("logo",G43)),ISNUMBER(SEARCH("sprite",G43)),ISNUMBER(SEARCH("aliexpress",G43))),"Revisar foto","OK"))</x:f>
        <x:v>Sem foto</x:v>
      </x:c>
      <x:c r="J43" s="28"/>
      <x:c r="K43" s="30"/>
      <x:c r="L43" s="30"/>
      <x:c r="M43" s="30" t="str">
        <x:f>IF(K43="","",K43+IF(L43="",0,L43))</x:f>
      </x:c>
      <x:c r="N43" s="30"/>
      <x:c r="O43" s="30" t="str">
        <x:f>IF(OR(N43="",M43=""),"",N43-M43)</x:f>
      </x:c>
      <x:c r="P43" s="29" t="str">
        <x:f>IF(OR(N43="",O43=""),"",O43/N43)</x:f>
      </x:c>
      <x:c r="Q43" s="28"/>
      <x:c r="R43" s="28"/>
      <x:c r="S43" s="28"/>
      <x:c r="T43" s="28"/>
      <x:c r="U43" s="28"/>
      <x:c r="V43" s="32"/>
      <x:c r="W43" s="28" t="str">
        <x:f>IF(OR(ISNUMBER(SEARCH("aliexpress",D43)),ISNUMBER(SEARCH("aliexpress",X43))),"Revisar mencao","OK")</x:f>
        <x:v>OK</x:v>
      </x:c>
      <x:c r="X43" s="28"/>
    </x:row>
    <x:row r="44">
      <x:c r="A44" s="28"/>
      <x:c r="B44" s="28"/>
      <x:c r="C44" s="28"/>
      <x:c r="D44" s="28"/>
      <x:c r="E44" s="28" t="str">
        <x:f>IF(D44="","",TRIM(SUBSTITUTE(SUBSTITUTE(SUBSTITUTE(SUBSTITUTE(D44,"AliExpress",""),"aliexpress",""),"ALIEXPRESS",""),"Choice","")))</x:f>
      </x:c>
      <x:c r="F44" s="28"/>
      <x:c r="G44" s="28"/>
      <x:c r="H44" s="28" t="str">
        <x:f>IF(G44="","",HYPERLINK(G44,"Abrir foto"))</x:f>
      </x:c>
      <x:c r="I44" s="28" t="str">
        <x:f>IF(G44="","Sem foto",IF(OR(ISNUMBER(SEARCH("logo",G44)),ISNUMBER(SEARCH("sprite",G44)),ISNUMBER(SEARCH("aliexpress",G44))),"Revisar foto","OK"))</x:f>
        <x:v>Sem foto</x:v>
      </x:c>
      <x:c r="J44" s="28"/>
      <x:c r="K44" s="30"/>
      <x:c r="L44" s="30"/>
      <x:c r="M44" s="30" t="str">
        <x:f>IF(K44="","",K44+IF(L44="",0,L44))</x:f>
      </x:c>
      <x:c r="N44" s="30"/>
      <x:c r="O44" s="30" t="str">
        <x:f>IF(OR(N44="",M44=""),"",N44-M44)</x:f>
      </x:c>
      <x:c r="P44" s="29" t="str">
        <x:f>IF(OR(N44="",O44=""),"",O44/N44)</x:f>
      </x:c>
      <x:c r="Q44" s="28"/>
      <x:c r="R44" s="28"/>
      <x:c r="S44" s="28"/>
      <x:c r="T44" s="28"/>
      <x:c r="U44" s="28"/>
      <x:c r="V44" s="32"/>
      <x:c r="W44" s="28" t="str">
        <x:f>IF(OR(ISNUMBER(SEARCH("aliexpress",D44)),ISNUMBER(SEARCH("aliexpress",X44))),"Revisar mencao","OK")</x:f>
        <x:v>OK</x:v>
      </x:c>
      <x:c r="X44" s="28"/>
    </x:row>
    <x:row r="45">
      <x:c r="A45" s="28"/>
      <x:c r="B45" s="28"/>
      <x:c r="C45" s="28"/>
      <x:c r="D45" s="28"/>
      <x:c r="E45" s="28" t="str">
        <x:f>IF(D45="","",TRIM(SUBSTITUTE(SUBSTITUTE(SUBSTITUTE(SUBSTITUTE(D45,"AliExpress",""),"aliexpress",""),"ALIEXPRESS",""),"Choice","")))</x:f>
      </x:c>
      <x:c r="F45" s="28"/>
      <x:c r="G45" s="28"/>
      <x:c r="H45" s="28" t="str">
        <x:f>IF(G45="","",HYPERLINK(G45,"Abrir foto"))</x:f>
      </x:c>
      <x:c r="I45" s="28" t="str">
        <x:f>IF(G45="","Sem foto",IF(OR(ISNUMBER(SEARCH("logo",G45)),ISNUMBER(SEARCH("sprite",G45)),ISNUMBER(SEARCH("aliexpress",G45))),"Revisar foto","OK"))</x:f>
        <x:v>Sem foto</x:v>
      </x:c>
      <x:c r="J45" s="28"/>
      <x:c r="K45" s="30"/>
      <x:c r="L45" s="30"/>
      <x:c r="M45" s="30" t="str">
        <x:f>IF(K45="","",K45+IF(L45="",0,L45))</x:f>
      </x:c>
      <x:c r="N45" s="30"/>
      <x:c r="O45" s="30" t="str">
        <x:f>IF(OR(N45="",M45=""),"",N45-M45)</x:f>
      </x:c>
      <x:c r="P45" s="29" t="str">
        <x:f>IF(OR(N45="",O45=""),"",O45/N45)</x:f>
      </x:c>
      <x:c r="Q45" s="28"/>
      <x:c r="R45" s="28"/>
      <x:c r="S45" s="28"/>
      <x:c r="T45" s="28"/>
      <x:c r="U45" s="28"/>
      <x:c r="V45" s="32"/>
      <x:c r="W45" s="28" t="str">
        <x:f>IF(OR(ISNUMBER(SEARCH("aliexpress",D45)),ISNUMBER(SEARCH("aliexpress",X45))),"Revisar mencao","OK")</x:f>
        <x:v>OK</x:v>
      </x:c>
      <x:c r="X45" s="28"/>
    </x:row>
    <x:row r="46">
      <x:c r="A46" s="28"/>
      <x:c r="B46" s="28"/>
      <x:c r="C46" s="28"/>
      <x:c r="D46" s="28"/>
      <x:c r="E46" s="28" t="str">
        <x:f>IF(D46="","",TRIM(SUBSTITUTE(SUBSTITUTE(SUBSTITUTE(SUBSTITUTE(D46,"AliExpress",""),"aliexpress",""),"ALIEXPRESS",""),"Choice","")))</x:f>
      </x:c>
      <x:c r="F46" s="28"/>
      <x:c r="G46" s="28"/>
      <x:c r="H46" s="28" t="str">
        <x:f>IF(G46="","",HYPERLINK(G46,"Abrir foto"))</x:f>
      </x:c>
      <x:c r="I46" s="28" t="str">
        <x:f>IF(G46="","Sem foto",IF(OR(ISNUMBER(SEARCH("logo",G46)),ISNUMBER(SEARCH("sprite",G46)),ISNUMBER(SEARCH("aliexpress",G46))),"Revisar foto","OK"))</x:f>
        <x:v>Sem foto</x:v>
      </x:c>
      <x:c r="J46" s="28"/>
      <x:c r="K46" s="30"/>
      <x:c r="L46" s="30"/>
      <x:c r="M46" s="30" t="str">
        <x:f>IF(K46="","",K46+IF(L46="",0,L46))</x:f>
      </x:c>
      <x:c r="N46" s="30"/>
      <x:c r="O46" s="30" t="str">
        <x:f>IF(OR(N46="",M46=""),"",N46-M46)</x:f>
      </x:c>
      <x:c r="P46" s="29" t="str">
        <x:f>IF(OR(N46="",O46=""),"",O46/N46)</x:f>
      </x:c>
      <x:c r="Q46" s="28"/>
      <x:c r="R46" s="28"/>
      <x:c r="S46" s="28"/>
      <x:c r="T46" s="28"/>
      <x:c r="U46" s="28"/>
      <x:c r="V46" s="32"/>
      <x:c r="W46" s="28" t="str">
        <x:f>IF(OR(ISNUMBER(SEARCH("aliexpress",D46)),ISNUMBER(SEARCH("aliexpress",X46))),"Revisar mencao","OK")</x:f>
        <x:v>OK</x:v>
      </x:c>
      <x:c r="X46" s="28"/>
    </x:row>
    <x:row r="47">
      <x:c r="A47" s="28"/>
      <x:c r="B47" s="28"/>
      <x:c r="C47" s="28"/>
      <x:c r="D47" s="28"/>
      <x:c r="E47" s="28" t="str">
        <x:f>IF(D47="","",TRIM(SUBSTITUTE(SUBSTITUTE(SUBSTITUTE(SUBSTITUTE(D47,"AliExpress",""),"aliexpress",""),"ALIEXPRESS",""),"Choice","")))</x:f>
      </x:c>
      <x:c r="F47" s="28"/>
      <x:c r="G47" s="28"/>
      <x:c r="H47" s="28" t="str">
        <x:f>IF(G47="","",HYPERLINK(G47,"Abrir foto"))</x:f>
      </x:c>
      <x:c r="I47" s="28" t="str">
        <x:f>IF(G47="","Sem foto",IF(OR(ISNUMBER(SEARCH("logo",G47)),ISNUMBER(SEARCH("sprite",G47)),ISNUMBER(SEARCH("aliexpress",G47))),"Revisar foto","OK"))</x:f>
        <x:v>Sem foto</x:v>
      </x:c>
      <x:c r="J47" s="28"/>
      <x:c r="K47" s="30"/>
      <x:c r="L47" s="30"/>
      <x:c r="M47" s="30" t="str">
        <x:f>IF(K47="","",K47+IF(L47="",0,L47))</x:f>
      </x:c>
      <x:c r="N47" s="30"/>
      <x:c r="O47" s="30" t="str">
        <x:f>IF(OR(N47="",M47=""),"",N47-M47)</x:f>
      </x:c>
      <x:c r="P47" s="29" t="str">
        <x:f>IF(OR(N47="",O47=""),"",O47/N47)</x:f>
      </x:c>
      <x:c r="Q47" s="28"/>
      <x:c r="R47" s="28"/>
      <x:c r="S47" s="28"/>
      <x:c r="T47" s="28"/>
      <x:c r="U47" s="28"/>
      <x:c r="V47" s="32"/>
      <x:c r="W47" s="28" t="str">
        <x:f>IF(OR(ISNUMBER(SEARCH("aliexpress",D47)),ISNUMBER(SEARCH("aliexpress",X47))),"Revisar mencao","OK")</x:f>
        <x:v>OK</x:v>
      </x:c>
      <x:c r="X47" s="28"/>
    </x:row>
    <x:row r="48">
      <x:c r="A48" s="28"/>
      <x:c r="B48" s="28"/>
      <x:c r="C48" s="28"/>
      <x:c r="D48" s="28"/>
      <x:c r="E48" s="28" t="str">
        <x:f>IF(D48="","",TRIM(SUBSTITUTE(SUBSTITUTE(SUBSTITUTE(SUBSTITUTE(D48,"AliExpress",""),"aliexpress",""),"ALIEXPRESS",""),"Choice","")))</x:f>
      </x:c>
      <x:c r="F48" s="28"/>
      <x:c r="G48" s="28"/>
      <x:c r="H48" s="28" t="str">
        <x:f>IF(G48="","",HYPERLINK(G48,"Abrir foto"))</x:f>
      </x:c>
      <x:c r="I48" s="28" t="str">
        <x:f>IF(G48="","Sem foto",IF(OR(ISNUMBER(SEARCH("logo",G48)),ISNUMBER(SEARCH("sprite",G48)),ISNUMBER(SEARCH("aliexpress",G48))),"Revisar foto","OK"))</x:f>
        <x:v>Sem foto</x:v>
      </x:c>
      <x:c r="J48" s="28"/>
      <x:c r="K48" s="30"/>
      <x:c r="L48" s="30"/>
      <x:c r="M48" s="30" t="str">
        <x:f>IF(K48="","",K48+IF(L48="",0,L48))</x:f>
      </x:c>
      <x:c r="N48" s="30"/>
      <x:c r="O48" s="30" t="str">
        <x:f>IF(OR(N48="",M48=""),"",N48-M48)</x:f>
      </x:c>
      <x:c r="P48" s="29" t="str">
        <x:f>IF(OR(N48="",O48=""),"",O48/N48)</x:f>
      </x:c>
      <x:c r="Q48" s="28"/>
      <x:c r="R48" s="28"/>
      <x:c r="S48" s="28"/>
      <x:c r="T48" s="28"/>
      <x:c r="U48" s="28"/>
      <x:c r="V48" s="32"/>
      <x:c r="W48" s="28" t="str">
        <x:f>IF(OR(ISNUMBER(SEARCH("aliexpress",D48)),ISNUMBER(SEARCH("aliexpress",X48))),"Revisar mencao","OK")</x:f>
        <x:v>OK</x:v>
      </x:c>
      <x:c r="X48" s="28"/>
    </x:row>
    <x:row r="49">
      <x:c r="A49" s="28"/>
      <x:c r="B49" s="28"/>
      <x:c r="C49" s="28"/>
      <x:c r="D49" s="28"/>
      <x:c r="E49" s="28" t="str">
        <x:f>IF(D49="","",TRIM(SUBSTITUTE(SUBSTITUTE(SUBSTITUTE(SUBSTITUTE(D49,"AliExpress",""),"aliexpress",""),"ALIEXPRESS",""),"Choice","")))</x:f>
      </x:c>
      <x:c r="F49" s="28"/>
      <x:c r="G49" s="28"/>
      <x:c r="H49" s="28" t="str">
        <x:f>IF(G49="","",HYPERLINK(G49,"Abrir foto"))</x:f>
      </x:c>
      <x:c r="I49" s="28" t="str">
        <x:f>IF(G49="","Sem foto",IF(OR(ISNUMBER(SEARCH("logo",G49)),ISNUMBER(SEARCH("sprite",G49)),ISNUMBER(SEARCH("aliexpress",G49))),"Revisar foto","OK"))</x:f>
        <x:v>Sem foto</x:v>
      </x:c>
      <x:c r="J49" s="28"/>
      <x:c r="K49" s="30"/>
      <x:c r="L49" s="30"/>
      <x:c r="M49" s="30" t="str">
        <x:f>IF(K49="","",K49+IF(L49="",0,L49))</x:f>
      </x:c>
      <x:c r="N49" s="30"/>
      <x:c r="O49" s="30" t="str">
        <x:f>IF(OR(N49="",M49=""),"",N49-M49)</x:f>
      </x:c>
      <x:c r="P49" s="29" t="str">
        <x:f>IF(OR(N49="",O49=""),"",O49/N49)</x:f>
      </x:c>
      <x:c r="Q49" s="28"/>
      <x:c r="R49" s="28"/>
      <x:c r="S49" s="28"/>
      <x:c r="T49" s="28"/>
      <x:c r="U49" s="28"/>
      <x:c r="V49" s="32"/>
      <x:c r="W49" s="28" t="str">
        <x:f>IF(OR(ISNUMBER(SEARCH("aliexpress",D49)),ISNUMBER(SEARCH("aliexpress",X49))),"Revisar mencao","OK")</x:f>
        <x:v>OK</x:v>
      </x:c>
      <x:c r="X49" s="28"/>
    </x:row>
    <x:row r="50">
      <x:c r="A50" s="28"/>
      <x:c r="B50" s="28"/>
      <x:c r="C50" s="28"/>
      <x:c r="D50" s="28"/>
      <x:c r="E50" s="28" t="str">
        <x:f>IF(D50="","",TRIM(SUBSTITUTE(SUBSTITUTE(SUBSTITUTE(SUBSTITUTE(D50,"AliExpress",""),"aliexpress",""),"ALIEXPRESS",""),"Choice","")))</x:f>
      </x:c>
      <x:c r="F50" s="28"/>
      <x:c r="G50" s="28"/>
      <x:c r="H50" s="28" t="str">
        <x:f>IF(G50="","",HYPERLINK(G50,"Abrir foto"))</x:f>
      </x:c>
      <x:c r="I50" s="28" t="str">
        <x:f>IF(G50="","Sem foto",IF(OR(ISNUMBER(SEARCH("logo",G50)),ISNUMBER(SEARCH("sprite",G50)),ISNUMBER(SEARCH("aliexpress",G50))),"Revisar foto","OK"))</x:f>
        <x:v>Sem foto</x:v>
      </x:c>
      <x:c r="J50" s="28"/>
      <x:c r="K50" s="30"/>
      <x:c r="L50" s="30"/>
      <x:c r="M50" s="30" t="str">
        <x:f>IF(K50="","",K50+IF(L50="",0,L50))</x:f>
      </x:c>
      <x:c r="N50" s="30"/>
      <x:c r="O50" s="30" t="str">
        <x:f>IF(OR(N50="",M50=""),"",N50-M50)</x:f>
      </x:c>
      <x:c r="P50" s="29" t="str">
        <x:f>IF(OR(N50="",O50=""),"",O50/N50)</x:f>
      </x:c>
      <x:c r="Q50" s="28"/>
      <x:c r="R50" s="28"/>
      <x:c r="S50" s="28"/>
      <x:c r="T50" s="28"/>
      <x:c r="U50" s="28"/>
      <x:c r="V50" s="32"/>
      <x:c r="W50" s="28" t="str">
        <x:f>IF(OR(ISNUMBER(SEARCH("aliexpress",D50)),ISNUMBER(SEARCH("aliexpress",X50))),"Revisar mencao","OK")</x:f>
        <x:v>OK</x:v>
      </x:c>
      <x:c r="X50" s="28"/>
    </x:row>
    <x:row r="51">
      <x:c r="A51" s="28"/>
      <x:c r="B51" s="28"/>
      <x:c r="C51" s="28"/>
      <x:c r="D51" s="28"/>
      <x:c r="E51" s="28" t="str">
        <x:f>IF(D51="","",TRIM(SUBSTITUTE(SUBSTITUTE(SUBSTITUTE(SUBSTITUTE(D51,"AliExpress",""),"aliexpress",""),"ALIEXPRESS",""),"Choice","")))</x:f>
      </x:c>
      <x:c r="F51" s="28"/>
      <x:c r="G51" s="28"/>
      <x:c r="H51" s="28" t="str">
        <x:f>IF(G51="","",HYPERLINK(G51,"Abrir foto"))</x:f>
      </x:c>
      <x:c r="I51" s="28" t="str">
        <x:f>IF(G51="","Sem foto",IF(OR(ISNUMBER(SEARCH("logo",G51)),ISNUMBER(SEARCH("sprite",G51)),ISNUMBER(SEARCH("aliexpress",G51))),"Revisar foto","OK"))</x:f>
        <x:v>Sem foto</x:v>
      </x:c>
      <x:c r="J51" s="28"/>
      <x:c r="K51" s="30"/>
      <x:c r="L51" s="30"/>
      <x:c r="M51" s="30" t="str">
        <x:f>IF(K51="","",K51+IF(L51="",0,L51))</x:f>
      </x:c>
      <x:c r="N51" s="30"/>
      <x:c r="O51" s="30" t="str">
        <x:f>IF(OR(N51="",M51=""),"",N51-M51)</x:f>
      </x:c>
      <x:c r="P51" s="29" t="str">
        <x:f>IF(OR(N51="",O51=""),"",O51/N51)</x:f>
      </x:c>
      <x:c r="Q51" s="28"/>
      <x:c r="R51" s="28"/>
      <x:c r="S51" s="28"/>
      <x:c r="T51" s="28"/>
      <x:c r="U51" s="28"/>
      <x:c r="V51" s="32"/>
      <x:c r="W51" s="28" t="str">
        <x:f>IF(OR(ISNUMBER(SEARCH("aliexpress",D51)),ISNUMBER(SEARCH("aliexpress",X51))),"Revisar mencao","OK")</x:f>
        <x:v>OK</x:v>
      </x:c>
      <x:c r="X51" s="28"/>
    </x:row>
    <x:row r="52">
      <x:c r="A52" s="28"/>
      <x:c r="B52" s="28"/>
      <x:c r="C52" s="28"/>
      <x:c r="D52" s="28"/>
      <x:c r="E52" s="28" t="str">
        <x:f>IF(D52="","",TRIM(SUBSTITUTE(SUBSTITUTE(SUBSTITUTE(SUBSTITUTE(D52,"AliExpress",""),"aliexpress",""),"ALIEXPRESS",""),"Choice","")))</x:f>
      </x:c>
      <x:c r="F52" s="28"/>
      <x:c r="G52" s="28"/>
      <x:c r="H52" s="28" t="str">
        <x:f>IF(G52="","",HYPERLINK(G52,"Abrir foto"))</x:f>
      </x:c>
      <x:c r="I52" s="28" t="str">
        <x:f>IF(G52="","Sem foto",IF(OR(ISNUMBER(SEARCH("logo",G52)),ISNUMBER(SEARCH("sprite",G52)),ISNUMBER(SEARCH("aliexpress",G52))),"Revisar foto","OK"))</x:f>
        <x:v>Sem foto</x:v>
      </x:c>
      <x:c r="J52" s="28"/>
      <x:c r="K52" s="30"/>
      <x:c r="L52" s="30"/>
      <x:c r="M52" s="30" t="str">
        <x:f>IF(K52="","",K52+IF(L52="",0,L52))</x:f>
      </x:c>
      <x:c r="N52" s="30"/>
      <x:c r="O52" s="30" t="str">
        <x:f>IF(OR(N52="",M52=""),"",N52-M52)</x:f>
      </x:c>
      <x:c r="P52" s="29" t="str">
        <x:f>IF(OR(N52="",O52=""),"",O52/N52)</x:f>
      </x:c>
      <x:c r="Q52" s="28"/>
      <x:c r="R52" s="28"/>
      <x:c r="S52" s="28"/>
      <x:c r="T52" s="28"/>
      <x:c r="U52" s="28"/>
      <x:c r="V52" s="32"/>
      <x:c r="W52" s="28" t="str">
        <x:f>IF(OR(ISNUMBER(SEARCH("aliexpress",D52)),ISNUMBER(SEARCH("aliexpress",X52))),"Revisar mencao","OK")</x:f>
        <x:v>OK</x:v>
      </x:c>
      <x:c r="X52" s="28"/>
    </x:row>
    <x:row r="53">
      <x:c r="A53" s="28"/>
      <x:c r="B53" s="28"/>
      <x:c r="C53" s="28"/>
      <x:c r="D53" s="28"/>
      <x:c r="E53" s="28" t="str">
        <x:f>IF(D53="","",TRIM(SUBSTITUTE(SUBSTITUTE(SUBSTITUTE(SUBSTITUTE(D53,"AliExpress",""),"aliexpress",""),"ALIEXPRESS",""),"Choice","")))</x:f>
      </x:c>
      <x:c r="F53" s="28"/>
      <x:c r="G53" s="28"/>
      <x:c r="H53" s="28" t="str">
        <x:f>IF(G53="","",HYPERLINK(G53,"Abrir foto"))</x:f>
      </x:c>
      <x:c r="I53" s="28" t="str">
        <x:f>IF(G53="","Sem foto",IF(OR(ISNUMBER(SEARCH("logo",G53)),ISNUMBER(SEARCH("sprite",G53)),ISNUMBER(SEARCH("aliexpress",G53))),"Revisar foto","OK"))</x:f>
        <x:v>Sem foto</x:v>
      </x:c>
      <x:c r="J53" s="28"/>
      <x:c r="K53" s="30"/>
      <x:c r="L53" s="30"/>
      <x:c r="M53" s="30" t="str">
        <x:f>IF(K53="","",K53+IF(L53="",0,L53))</x:f>
      </x:c>
      <x:c r="N53" s="30"/>
      <x:c r="O53" s="30" t="str">
        <x:f>IF(OR(N53="",M53=""),"",N53-M53)</x:f>
      </x:c>
      <x:c r="P53" s="29" t="str">
        <x:f>IF(OR(N53="",O53=""),"",O53/N53)</x:f>
      </x:c>
      <x:c r="Q53" s="28"/>
      <x:c r="R53" s="28"/>
      <x:c r="S53" s="28"/>
      <x:c r="T53" s="28"/>
      <x:c r="U53" s="28"/>
      <x:c r="V53" s="32"/>
      <x:c r="W53" s="28" t="str">
        <x:f>IF(OR(ISNUMBER(SEARCH("aliexpress",D53)),ISNUMBER(SEARCH("aliexpress",X53))),"Revisar mencao","OK")</x:f>
        <x:v>OK</x:v>
      </x:c>
      <x:c r="X53" s="28"/>
    </x:row>
    <x:row r="54">
      <x:c r="A54" s="28"/>
      <x:c r="B54" s="28"/>
      <x:c r="C54" s="28"/>
      <x:c r="D54" s="28"/>
      <x:c r="E54" s="28" t="str">
        <x:f>IF(D54="","",TRIM(SUBSTITUTE(SUBSTITUTE(SUBSTITUTE(SUBSTITUTE(D54,"AliExpress",""),"aliexpress",""),"ALIEXPRESS",""),"Choice","")))</x:f>
      </x:c>
      <x:c r="F54" s="28"/>
      <x:c r="G54" s="28"/>
      <x:c r="H54" s="28" t="str">
        <x:f>IF(G54="","",HYPERLINK(G54,"Abrir foto"))</x:f>
      </x:c>
      <x:c r="I54" s="28" t="str">
        <x:f>IF(G54="","Sem foto",IF(OR(ISNUMBER(SEARCH("logo",G54)),ISNUMBER(SEARCH("sprite",G54)),ISNUMBER(SEARCH("aliexpress",G54))),"Revisar foto","OK"))</x:f>
        <x:v>Sem foto</x:v>
      </x:c>
      <x:c r="J54" s="28"/>
      <x:c r="K54" s="30"/>
      <x:c r="L54" s="30"/>
      <x:c r="M54" s="30" t="str">
        <x:f>IF(K54="","",K54+IF(L54="",0,L54))</x:f>
      </x:c>
      <x:c r="N54" s="30"/>
      <x:c r="O54" s="30" t="str">
        <x:f>IF(OR(N54="",M54=""),"",N54-M54)</x:f>
      </x:c>
      <x:c r="P54" s="29" t="str">
        <x:f>IF(OR(N54="",O54=""),"",O54/N54)</x:f>
      </x:c>
      <x:c r="Q54" s="28"/>
      <x:c r="R54" s="28"/>
      <x:c r="S54" s="28"/>
      <x:c r="T54" s="28"/>
      <x:c r="U54" s="28"/>
      <x:c r="V54" s="32"/>
      <x:c r="W54" s="28" t="str">
        <x:f>IF(OR(ISNUMBER(SEARCH("aliexpress",D54)),ISNUMBER(SEARCH("aliexpress",X54))),"Revisar mencao","OK")</x:f>
        <x:v>OK</x:v>
      </x:c>
      <x:c r="X54" s="28"/>
    </x:row>
    <x:row r="55">
      <x:c r="A55" s="28"/>
      <x:c r="B55" s="28"/>
      <x:c r="C55" s="28"/>
      <x:c r="D55" s="28"/>
      <x:c r="E55" s="28" t="str">
        <x:f>IF(D55="","",TRIM(SUBSTITUTE(SUBSTITUTE(SUBSTITUTE(SUBSTITUTE(D55,"AliExpress",""),"aliexpress",""),"ALIEXPRESS",""),"Choice","")))</x:f>
      </x:c>
      <x:c r="F55" s="28"/>
      <x:c r="G55" s="28"/>
      <x:c r="H55" s="28" t="str">
        <x:f>IF(G55="","",HYPERLINK(G55,"Abrir foto"))</x:f>
      </x:c>
      <x:c r="I55" s="28" t="str">
        <x:f>IF(G55="","Sem foto",IF(OR(ISNUMBER(SEARCH("logo",G55)),ISNUMBER(SEARCH("sprite",G55)),ISNUMBER(SEARCH("aliexpress",G55))),"Revisar foto","OK"))</x:f>
        <x:v>Sem foto</x:v>
      </x:c>
      <x:c r="J55" s="28"/>
      <x:c r="K55" s="30"/>
      <x:c r="L55" s="30"/>
      <x:c r="M55" s="30" t="str">
        <x:f>IF(K55="","",K55+IF(L55="",0,L55))</x:f>
      </x:c>
      <x:c r="N55" s="30"/>
      <x:c r="O55" s="30" t="str">
        <x:f>IF(OR(N55="",M55=""),"",N55-M55)</x:f>
      </x:c>
      <x:c r="P55" s="29" t="str">
        <x:f>IF(OR(N55="",O55=""),"",O55/N55)</x:f>
      </x:c>
      <x:c r="Q55" s="28"/>
      <x:c r="R55" s="28"/>
      <x:c r="S55" s="28"/>
      <x:c r="T55" s="28"/>
      <x:c r="U55" s="28"/>
      <x:c r="V55" s="32"/>
      <x:c r="W55" s="28" t="str">
        <x:f>IF(OR(ISNUMBER(SEARCH("aliexpress",D55)),ISNUMBER(SEARCH("aliexpress",X55))),"Revisar mencao","OK")</x:f>
        <x:v>OK</x:v>
      </x:c>
      <x:c r="X55" s="28"/>
    </x:row>
    <x:row r="56">
      <x:c r="A56" s="28"/>
      <x:c r="B56" s="28"/>
      <x:c r="C56" s="28"/>
      <x:c r="D56" s="28"/>
      <x:c r="E56" s="28" t="str">
        <x:f>IF(D56="","",TRIM(SUBSTITUTE(SUBSTITUTE(SUBSTITUTE(SUBSTITUTE(D56,"AliExpress",""),"aliexpress",""),"ALIEXPRESS",""),"Choice","")))</x:f>
      </x:c>
      <x:c r="F56" s="28"/>
      <x:c r="G56" s="28"/>
      <x:c r="H56" s="28" t="str">
        <x:f>IF(G56="","",HYPERLINK(G56,"Abrir foto"))</x:f>
      </x:c>
      <x:c r="I56" s="28" t="str">
        <x:f>IF(G56="","Sem foto",IF(OR(ISNUMBER(SEARCH("logo",G56)),ISNUMBER(SEARCH("sprite",G56)),ISNUMBER(SEARCH("aliexpress",G56))),"Revisar foto","OK"))</x:f>
        <x:v>Sem foto</x:v>
      </x:c>
      <x:c r="J56" s="28"/>
      <x:c r="K56" s="30"/>
      <x:c r="L56" s="30"/>
      <x:c r="M56" s="30" t="str">
        <x:f>IF(K56="","",K56+IF(L56="",0,L56))</x:f>
      </x:c>
      <x:c r="N56" s="30"/>
      <x:c r="O56" s="30" t="str">
        <x:f>IF(OR(N56="",M56=""),"",N56-M56)</x:f>
      </x:c>
      <x:c r="P56" s="29" t="str">
        <x:f>IF(OR(N56="",O56=""),"",O56/N56)</x:f>
      </x:c>
      <x:c r="Q56" s="28"/>
      <x:c r="R56" s="28"/>
      <x:c r="S56" s="28"/>
      <x:c r="T56" s="28"/>
      <x:c r="U56" s="28"/>
      <x:c r="V56" s="32"/>
      <x:c r="W56" s="28" t="str">
        <x:f>IF(OR(ISNUMBER(SEARCH("aliexpress",D56)),ISNUMBER(SEARCH("aliexpress",X56))),"Revisar mencao","OK")</x:f>
        <x:v>OK</x:v>
      </x:c>
      <x:c r="X56" s="28"/>
    </x:row>
    <x:row r="57">
      <x:c r="A57" s="28"/>
      <x:c r="B57" s="28"/>
      <x:c r="C57" s="28"/>
      <x:c r="D57" s="28"/>
      <x:c r="E57" s="28" t="str">
        <x:f>IF(D57="","",TRIM(SUBSTITUTE(SUBSTITUTE(SUBSTITUTE(SUBSTITUTE(D57,"AliExpress",""),"aliexpress",""),"ALIEXPRESS",""),"Choice","")))</x:f>
      </x:c>
      <x:c r="F57" s="28"/>
      <x:c r="G57" s="28"/>
      <x:c r="H57" s="28" t="str">
        <x:f>IF(G57="","",HYPERLINK(G57,"Abrir foto"))</x:f>
      </x:c>
      <x:c r="I57" s="28" t="str">
        <x:f>IF(G57="","Sem foto",IF(OR(ISNUMBER(SEARCH("logo",G57)),ISNUMBER(SEARCH("sprite",G57)),ISNUMBER(SEARCH("aliexpress",G57))),"Revisar foto","OK"))</x:f>
        <x:v>Sem foto</x:v>
      </x:c>
      <x:c r="J57" s="28"/>
      <x:c r="K57" s="30"/>
      <x:c r="L57" s="30"/>
      <x:c r="M57" s="30" t="str">
        <x:f>IF(K57="","",K57+IF(L57="",0,L57))</x:f>
      </x:c>
      <x:c r="N57" s="30"/>
      <x:c r="O57" s="30" t="str">
        <x:f>IF(OR(N57="",M57=""),"",N57-M57)</x:f>
      </x:c>
      <x:c r="P57" s="29" t="str">
        <x:f>IF(OR(N57="",O57=""),"",O57/N57)</x:f>
      </x:c>
      <x:c r="Q57" s="28"/>
      <x:c r="R57" s="28"/>
      <x:c r="S57" s="28"/>
      <x:c r="T57" s="28"/>
      <x:c r="U57" s="28"/>
      <x:c r="V57" s="32"/>
      <x:c r="W57" s="28" t="str">
        <x:f>IF(OR(ISNUMBER(SEARCH("aliexpress",D57)),ISNUMBER(SEARCH("aliexpress",X57))),"Revisar mencao","OK")</x:f>
        <x:v>OK</x:v>
      </x:c>
      <x:c r="X57" s="28"/>
    </x:row>
    <x:row r="58">
      <x:c r="A58" s="28"/>
      <x:c r="B58" s="28"/>
      <x:c r="C58" s="28"/>
      <x:c r="D58" s="28"/>
      <x:c r="E58" s="28" t="str">
        <x:f>IF(D58="","",TRIM(SUBSTITUTE(SUBSTITUTE(SUBSTITUTE(SUBSTITUTE(D58,"AliExpress",""),"aliexpress",""),"ALIEXPRESS",""),"Choice","")))</x:f>
      </x:c>
      <x:c r="F58" s="28"/>
      <x:c r="G58" s="28"/>
      <x:c r="H58" s="28" t="str">
        <x:f>IF(G58="","",HYPERLINK(G58,"Abrir foto"))</x:f>
      </x:c>
      <x:c r="I58" s="28" t="str">
        <x:f>IF(G58="","Sem foto",IF(OR(ISNUMBER(SEARCH("logo",G58)),ISNUMBER(SEARCH("sprite",G58)),ISNUMBER(SEARCH("aliexpress",G58))),"Revisar foto","OK"))</x:f>
        <x:v>Sem foto</x:v>
      </x:c>
      <x:c r="J58" s="28"/>
      <x:c r="K58" s="30"/>
      <x:c r="L58" s="30"/>
      <x:c r="M58" s="30" t="str">
        <x:f>IF(K58="","",K58+IF(L58="",0,L58))</x:f>
      </x:c>
      <x:c r="N58" s="30"/>
      <x:c r="O58" s="30" t="str">
        <x:f>IF(OR(N58="",M58=""),"",N58-M58)</x:f>
      </x:c>
      <x:c r="P58" s="29" t="str">
        <x:f>IF(OR(N58="",O58=""),"",O58/N58)</x:f>
      </x:c>
      <x:c r="Q58" s="28"/>
      <x:c r="R58" s="28"/>
      <x:c r="S58" s="28"/>
      <x:c r="T58" s="28"/>
      <x:c r="U58" s="28"/>
      <x:c r="V58" s="32"/>
      <x:c r="W58" s="28" t="str">
        <x:f>IF(OR(ISNUMBER(SEARCH("aliexpress",D58)),ISNUMBER(SEARCH("aliexpress",X58))),"Revisar mencao","OK")</x:f>
        <x:v>OK</x:v>
      </x:c>
      <x:c r="X58" s="28"/>
    </x:row>
    <x:row r="59">
      <x:c r="A59" s="28"/>
      <x:c r="B59" s="28"/>
      <x:c r="C59" s="28"/>
      <x:c r="D59" s="28"/>
      <x:c r="E59" s="28" t="str">
        <x:f>IF(D59="","",TRIM(SUBSTITUTE(SUBSTITUTE(SUBSTITUTE(SUBSTITUTE(D59,"AliExpress",""),"aliexpress",""),"ALIEXPRESS",""),"Choice","")))</x:f>
      </x:c>
      <x:c r="F59" s="28"/>
      <x:c r="G59" s="28"/>
      <x:c r="H59" s="28" t="str">
        <x:f>IF(G59="","",HYPERLINK(G59,"Abrir foto"))</x:f>
      </x:c>
      <x:c r="I59" s="28" t="str">
        <x:f>IF(G59="","Sem foto",IF(OR(ISNUMBER(SEARCH("logo",G59)),ISNUMBER(SEARCH("sprite",G59)),ISNUMBER(SEARCH("aliexpress",G59))),"Revisar foto","OK"))</x:f>
        <x:v>Sem foto</x:v>
      </x:c>
      <x:c r="J59" s="28"/>
      <x:c r="K59" s="30"/>
      <x:c r="L59" s="30"/>
      <x:c r="M59" s="30" t="str">
        <x:f>IF(K59="","",K59+IF(L59="",0,L59))</x:f>
      </x:c>
      <x:c r="N59" s="30"/>
      <x:c r="O59" s="30" t="str">
        <x:f>IF(OR(N59="",M59=""),"",N59-M59)</x:f>
      </x:c>
      <x:c r="P59" s="29" t="str">
        <x:f>IF(OR(N59="",O59=""),"",O59/N59)</x:f>
      </x:c>
      <x:c r="Q59" s="28"/>
      <x:c r="R59" s="28"/>
      <x:c r="S59" s="28"/>
      <x:c r="T59" s="28"/>
      <x:c r="U59" s="28"/>
      <x:c r="V59" s="32"/>
      <x:c r="W59" s="28" t="str">
        <x:f>IF(OR(ISNUMBER(SEARCH("aliexpress",D59)),ISNUMBER(SEARCH("aliexpress",X59))),"Revisar mencao","OK")</x:f>
        <x:v>OK</x:v>
      </x:c>
      <x:c r="X59" s="28"/>
    </x:row>
    <x:row r="60">
      <x:c r="A60" s="28"/>
      <x:c r="B60" s="28"/>
      <x:c r="C60" s="28"/>
      <x:c r="D60" s="28"/>
      <x:c r="E60" s="28" t="str">
        <x:f>IF(D60="","",TRIM(SUBSTITUTE(SUBSTITUTE(SUBSTITUTE(SUBSTITUTE(D60,"AliExpress",""),"aliexpress",""),"ALIEXPRESS",""),"Choice","")))</x:f>
      </x:c>
      <x:c r="F60" s="28"/>
      <x:c r="G60" s="28"/>
      <x:c r="H60" s="28" t="str">
        <x:f>IF(G60="","",HYPERLINK(G60,"Abrir foto"))</x:f>
      </x:c>
      <x:c r="I60" s="28" t="str">
        <x:f>IF(G60="","Sem foto",IF(OR(ISNUMBER(SEARCH("logo",G60)),ISNUMBER(SEARCH("sprite",G60)),ISNUMBER(SEARCH("aliexpress",G60))),"Revisar foto","OK"))</x:f>
        <x:v>Sem foto</x:v>
      </x:c>
      <x:c r="J60" s="28"/>
      <x:c r="K60" s="30"/>
      <x:c r="L60" s="30"/>
      <x:c r="M60" s="30" t="str">
        <x:f>IF(K60="","",K60+IF(L60="",0,L60))</x:f>
      </x:c>
      <x:c r="N60" s="30"/>
      <x:c r="O60" s="30" t="str">
        <x:f>IF(OR(N60="",M60=""),"",N60-M60)</x:f>
      </x:c>
      <x:c r="P60" s="29" t="str">
        <x:f>IF(OR(N60="",O60=""),"",O60/N60)</x:f>
      </x:c>
      <x:c r="Q60" s="28"/>
      <x:c r="R60" s="28"/>
      <x:c r="S60" s="28"/>
      <x:c r="T60" s="28"/>
      <x:c r="U60" s="28"/>
      <x:c r="V60" s="32"/>
      <x:c r="W60" s="28" t="str">
        <x:f>IF(OR(ISNUMBER(SEARCH("aliexpress",D60)),ISNUMBER(SEARCH("aliexpress",X60))),"Revisar mencao","OK")</x:f>
        <x:v>OK</x:v>
      </x:c>
      <x:c r="X60" s="28"/>
    </x:row>
    <x:row r="61">
      <x:c r="A61" s="28"/>
      <x:c r="B61" s="28"/>
      <x:c r="C61" s="28"/>
      <x:c r="D61" s="28"/>
      <x:c r="E61" s="28" t="str">
        <x:f>IF(D61="","",TRIM(SUBSTITUTE(SUBSTITUTE(SUBSTITUTE(SUBSTITUTE(D61,"AliExpress",""),"aliexpress",""),"ALIEXPRESS",""),"Choice","")))</x:f>
      </x:c>
      <x:c r="F61" s="28"/>
      <x:c r="G61" s="28"/>
      <x:c r="H61" s="28" t="str">
        <x:f>IF(G61="","",HYPERLINK(G61,"Abrir foto"))</x:f>
      </x:c>
      <x:c r="I61" s="28" t="str">
        <x:f>IF(G61="","Sem foto",IF(OR(ISNUMBER(SEARCH("logo",G61)),ISNUMBER(SEARCH("sprite",G61)),ISNUMBER(SEARCH("aliexpress",G61))),"Revisar foto","OK"))</x:f>
        <x:v>Sem foto</x:v>
      </x:c>
      <x:c r="J61" s="28"/>
      <x:c r="K61" s="30"/>
      <x:c r="L61" s="30"/>
      <x:c r="M61" s="30" t="str">
        <x:f>IF(K61="","",K61+IF(L61="",0,L61))</x:f>
      </x:c>
      <x:c r="N61" s="30"/>
      <x:c r="O61" s="30" t="str">
        <x:f>IF(OR(N61="",M61=""),"",N61-M61)</x:f>
      </x:c>
      <x:c r="P61" s="29" t="str">
        <x:f>IF(OR(N61="",O61=""),"",O61/N61)</x:f>
      </x:c>
      <x:c r="Q61" s="28"/>
      <x:c r="R61" s="28"/>
      <x:c r="S61" s="28"/>
      <x:c r="T61" s="28"/>
      <x:c r="U61" s="28"/>
      <x:c r="V61" s="32"/>
      <x:c r="W61" s="28" t="str">
        <x:f>IF(OR(ISNUMBER(SEARCH("aliexpress",D61)),ISNUMBER(SEARCH("aliexpress",X61))),"Revisar mencao","OK")</x:f>
        <x:v>OK</x:v>
      </x:c>
      <x:c r="X61" s="28"/>
    </x:row>
    <x:row r="62">
      <x:c r="A62" s="28"/>
      <x:c r="B62" s="28"/>
      <x:c r="C62" s="28"/>
      <x:c r="D62" s="28"/>
      <x:c r="E62" s="28" t="str">
        <x:f>IF(D62="","",TRIM(SUBSTITUTE(SUBSTITUTE(SUBSTITUTE(SUBSTITUTE(D62,"AliExpress",""),"aliexpress",""),"ALIEXPRESS",""),"Choice","")))</x:f>
      </x:c>
      <x:c r="F62" s="28"/>
      <x:c r="G62" s="28"/>
      <x:c r="H62" s="28" t="str">
        <x:f>IF(G62="","",HYPERLINK(G62,"Abrir foto"))</x:f>
      </x:c>
      <x:c r="I62" s="28" t="str">
        <x:f>IF(G62="","Sem foto",IF(OR(ISNUMBER(SEARCH("logo",G62)),ISNUMBER(SEARCH("sprite",G62)),ISNUMBER(SEARCH("aliexpress",G62))),"Revisar foto","OK"))</x:f>
        <x:v>Sem foto</x:v>
      </x:c>
      <x:c r="J62" s="28"/>
      <x:c r="K62" s="30"/>
      <x:c r="L62" s="30"/>
      <x:c r="M62" s="30" t="str">
        <x:f>IF(K62="","",K62+IF(L62="",0,L62))</x:f>
      </x:c>
      <x:c r="N62" s="30"/>
      <x:c r="O62" s="30" t="str">
        <x:f>IF(OR(N62="",M62=""),"",N62-M62)</x:f>
      </x:c>
      <x:c r="P62" s="29" t="str">
        <x:f>IF(OR(N62="",O62=""),"",O62/N62)</x:f>
      </x:c>
      <x:c r="Q62" s="28"/>
      <x:c r="R62" s="28"/>
      <x:c r="S62" s="28"/>
      <x:c r="T62" s="28"/>
      <x:c r="U62" s="28"/>
      <x:c r="V62" s="32"/>
      <x:c r="W62" s="28" t="str">
        <x:f>IF(OR(ISNUMBER(SEARCH("aliexpress",D62)),ISNUMBER(SEARCH("aliexpress",X62))),"Revisar mencao","OK")</x:f>
        <x:v>OK</x:v>
      </x:c>
      <x:c r="X62" s="28"/>
    </x:row>
    <x:row r="63">
      <x:c r="A63" s="28"/>
      <x:c r="B63" s="28"/>
      <x:c r="C63" s="28"/>
      <x:c r="D63" s="28"/>
      <x:c r="E63" s="28" t="str">
        <x:f>IF(D63="","",TRIM(SUBSTITUTE(SUBSTITUTE(SUBSTITUTE(SUBSTITUTE(D63,"AliExpress",""),"aliexpress",""),"ALIEXPRESS",""),"Choice","")))</x:f>
      </x:c>
      <x:c r="F63" s="28"/>
      <x:c r="G63" s="28"/>
      <x:c r="H63" s="28" t="str">
        <x:f>IF(G63="","",HYPERLINK(G63,"Abrir foto"))</x:f>
      </x:c>
      <x:c r="I63" s="28" t="str">
        <x:f>IF(G63="","Sem foto",IF(OR(ISNUMBER(SEARCH("logo",G63)),ISNUMBER(SEARCH("sprite",G63)),ISNUMBER(SEARCH("aliexpress",G63))),"Revisar foto","OK"))</x:f>
        <x:v>Sem foto</x:v>
      </x:c>
      <x:c r="J63" s="28"/>
      <x:c r="K63" s="30"/>
      <x:c r="L63" s="30"/>
      <x:c r="M63" s="30" t="str">
        <x:f>IF(K63="","",K63+IF(L63="",0,L63))</x:f>
      </x:c>
      <x:c r="N63" s="30"/>
      <x:c r="O63" s="30" t="str">
        <x:f>IF(OR(N63="",M63=""),"",N63-M63)</x:f>
      </x:c>
      <x:c r="P63" s="29" t="str">
        <x:f>IF(OR(N63="",O63=""),"",O63/N63)</x:f>
      </x:c>
      <x:c r="Q63" s="28"/>
      <x:c r="R63" s="28"/>
      <x:c r="S63" s="28"/>
      <x:c r="T63" s="28"/>
      <x:c r="U63" s="28"/>
      <x:c r="V63" s="32"/>
      <x:c r="W63" s="28" t="str">
        <x:f>IF(OR(ISNUMBER(SEARCH("aliexpress",D63)),ISNUMBER(SEARCH("aliexpress",X63))),"Revisar mencao","OK")</x:f>
        <x:v>OK</x:v>
      </x:c>
      <x:c r="X63" s="28"/>
    </x:row>
    <x:row r="64">
      <x:c r="A64" s="28"/>
      <x:c r="B64" s="28"/>
      <x:c r="C64" s="28"/>
      <x:c r="D64" s="28"/>
      <x:c r="E64" s="28" t="str">
        <x:f>IF(D64="","",TRIM(SUBSTITUTE(SUBSTITUTE(SUBSTITUTE(SUBSTITUTE(D64,"AliExpress",""),"aliexpress",""),"ALIEXPRESS",""),"Choice","")))</x:f>
      </x:c>
      <x:c r="F64" s="28"/>
      <x:c r="G64" s="28"/>
      <x:c r="H64" s="28" t="str">
        <x:f>IF(G64="","",HYPERLINK(G64,"Abrir foto"))</x:f>
      </x:c>
      <x:c r="I64" s="28" t="str">
        <x:f>IF(G64="","Sem foto",IF(OR(ISNUMBER(SEARCH("logo",G64)),ISNUMBER(SEARCH("sprite",G64)),ISNUMBER(SEARCH("aliexpress",G64))),"Revisar foto","OK"))</x:f>
        <x:v>Sem foto</x:v>
      </x:c>
      <x:c r="J64" s="28"/>
      <x:c r="K64" s="30"/>
      <x:c r="L64" s="30"/>
      <x:c r="M64" s="30" t="str">
        <x:f>IF(K64="","",K64+IF(L64="",0,L64))</x:f>
      </x:c>
      <x:c r="N64" s="30"/>
      <x:c r="O64" s="30" t="str">
        <x:f>IF(OR(N64="",M64=""),"",N64-M64)</x:f>
      </x:c>
      <x:c r="P64" s="29" t="str">
        <x:f>IF(OR(N64="",O64=""),"",O64/N64)</x:f>
      </x:c>
      <x:c r="Q64" s="28"/>
      <x:c r="R64" s="28"/>
      <x:c r="S64" s="28"/>
      <x:c r="T64" s="28"/>
      <x:c r="U64" s="28"/>
      <x:c r="V64" s="32"/>
      <x:c r="W64" s="28" t="str">
        <x:f>IF(OR(ISNUMBER(SEARCH("aliexpress",D64)),ISNUMBER(SEARCH("aliexpress",X64))),"Revisar mencao","OK")</x:f>
        <x:v>OK</x:v>
      </x:c>
      <x:c r="X64" s="28"/>
    </x:row>
    <x:row r="65">
      <x:c r="A65" s="28"/>
      <x:c r="B65" s="28"/>
      <x:c r="C65" s="28"/>
      <x:c r="D65" s="28"/>
      <x:c r="E65" s="28" t="str">
        <x:f>IF(D65="","",TRIM(SUBSTITUTE(SUBSTITUTE(SUBSTITUTE(SUBSTITUTE(D65,"AliExpress",""),"aliexpress",""),"ALIEXPRESS",""),"Choice","")))</x:f>
      </x:c>
      <x:c r="F65" s="28"/>
      <x:c r="G65" s="28"/>
      <x:c r="H65" s="28" t="str">
        <x:f>IF(G65="","",HYPERLINK(G65,"Abrir foto"))</x:f>
      </x:c>
      <x:c r="I65" s="28" t="str">
        <x:f>IF(G65="","Sem foto",IF(OR(ISNUMBER(SEARCH("logo",G65)),ISNUMBER(SEARCH("sprite",G65)),ISNUMBER(SEARCH("aliexpress",G65))),"Revisar foto","OK"))</x:f>
        <x:v>Sem foto</x:v>
      </x:c>
      <x:c r="J65" s="28"/>
      <x:c r="K65" s="30"/>
      <x:c r="L65" s="30"/>
      <x:c r="M65" s="30" t="str">
        <x:f>IF(K65="","",K65+IF(L65="",0,L65))</x:f>
      </x:c>
      <x:c r="N65" s="30"/>
      <x:c r="O65" s="30" t="str">
        <x:f>IF(OR(N65="",M65=""),"",N65-M65)</x:f>
      </x:c>
      <x:c r="P65" s="29" t="str">
        <x:f>IF(OR(N65="",O65=""),"",O65/N65)</x:f>
      </x:c>
      <x:c r="Q65" s="28"/>
      <x:c r="R65" s="28"/>
      <x:c r="S65" s="28"/>
      <x:c r="T65" s="28"/>
      <x:c r="U65" s="28"/>
      <x:c r="V65" s="32"/>
      <x:c r="W65" s="28" t="str">
        <x:f>IF(OR(ISNUMBER(SEARCH("aliexpress",D65)),ISNUMBER(SEARCH("aliexpress",X65))),"Revisar mencao","OK")</x:f>
        <x:v>OK</x:v>
      </x:c>
      <x:c r="X65" s="28"/>
    </x:row>
    <x:row r="66">
      <x:c r="A66" s="28"/>
      <x:c r="B66" s="28"/>
      <x:c r="C66" s="28"/>
      <x:c r="D66" s="28"/>
      <x:c r="E66" s="28" t="str">
        <x:f>IF(D66="","",TRIM(SUBSTITUTE(SUBSTITUTE(SUBSTITUTE(SUBSTITUTE(D66,"AliExpress",""),"aliexpress",""),"ALIEXPRESS",""),"Choice","")))</x:f>
      </x:c>
      <x:c r="F66" s="28"/>
      <x:c r="G66" s="28"/>
      <x:c r="H66" s="28" t="str">
        <x:f>IF(G66="","",HYPERLINK(G66,"Abrir foto"))</x:f>
      </x:c>
      <x:c r="I66" s="28" t="str">
        <x:f>IF(G66="","Sem foto",IF(OR(ISNUMBER(SEARCH("logo",G66)),ISNUMBER(SEARCH("sprite",G66)),ISNUMBER(SEARCH("aliexpress",G66))),"Revisar foto","OK"))</x:f>
        <x:v>Sem foto</x:v>
      </x:c>
      <x:c r="J66" s="28"/>
      <x:c r="K66" s="30"/>
      <x:c r="L66" s="30"/>
      <x:c r="M66" s="30" t="str">
        <x:f>IF(K66="","",K66+IF(L66="",0,L66))</x:f>
      </x:c>
      <x:c r="N66" s="30"/>
      <x:c r="O66" s="30" t="str">
        <x:f>IF(OR(N66="",M66=""),"",N66-M66)</x:f>
      </x:c>
      <x:c r="P66" s="29" t="str">
        <x:f>IF(OR(N66="",O66=""),"",O66/N66)</x:f>
      </x:c>
      <x:c r="Q66" s="28"/>
      <x:c r="R66" s="28"/>
      <x:c r="S66" s="28"/>
      <x:c r="T66" s="28"/>
      <x:c r="U66" s="28"/>
      <x:c r="V66" s="32"/>
      <x:c r="W66" s="28" t="str">
        <x:f>IF(OR(ISNUMBER(SEARCH("aliexpress",D66)),ISNUMBER(SEARCH("aliexpress",X66))),"Revisar mencao","OK")</x:f>
        <x:v>OK</x:v>
      </x:c>
      <x:c r="X66" s="28"/>
    </x:row>
    <x:row r="67">
      <x:c r="A67" s="28"/>
      <x:c r="B67" s="28"/>
      <x:c r="C67" s="28"/>
      <x:c r="D67" s="28"/>
      <x:c r="E67" s="28" t="str">
        <x:f>IF(D67="","",TRIM(SUBSTITUTE(SUBSTITUTE(SUBSTITUTE(SUBSTITUTE(D67,"AliExpress",""),"aliexpress",""),"ALIEXPRESS",""),"Choice","")))</x:f>
      </x:c>
      <x:c r="F67" s="28"/>
      <x:c r="G67" s="28"/>
      <x:c r="H67" s="28" t="str">
        <x:f>IF(G67="","",HYPERLINK(G67,"Abrir foto"))</x:f>
      </x:c>
      <x:c r="I67" s="28" t="str">
        <x:f>IF(G67="","Sem foto",IF(OR(ISNUMBER(SEARCH("logo",G67)),ISNUMBER(SEARCH("sprite",G67)),ISNUMBER(SEARCH("aliexpress",G67))),"Revisar foto","OK"))</x:f>
        <x:v>Sem foto</x:v>
      </x:c>
      <x:c r="J67" s="28"/>
      <x:c r="K67" s="30"/>
      <x:c r="L67" s="30"/>
      <x:c r="M67" s="30" t="str">
        <x:f>IF(K67="","",K67+IF(L67="",0,L67))</x:f>
      </x:c>
      <x:c r="N67" s="30"/>
      <x:c r="O67" s="30" t="str">
        <x:f>IF(OR(N67="",M67=""),"",N67-M67)</x:f>
      </x:c>
      <x:c r="P67" s="29" t="str">
        <x:f>IF(OR(N67="",O67=""),"",O67/N67)</x:f>
      </x:c>
      <x:c r="Q67" s="28"/>
      <x:c r="R67" s="28"/>
      <x:c r="S67" s="28"/>
      <x:c r="T67" s="28"/>
      <x:c r="U67" s="28"/>
      <x:c r="V67" s="32"/>
      <x:c r="W67" s="28" t="str">
        <x:f>IF(OR(ISNUMBER(SEARCH("aliexpress",D67)),ISNUMBER(SEARCH("aliexpress",X67))),"Revisar mencao","OK")</x:f>
        <x:v>OK</x:v>
      </x:c>
      <x:c r="X67" s="28"/>
    </x:row>
    <x:row r="68">
      <x:c r="A68" s="28"/>
      <x:c r="B68" s="28"/>
      <x:c r="C68" s="28"/>
      <x:c r="D68" s="28"/>
      <x:c r="E68" s="28" t="str">
        <x:f>IF(D68="","",TRIM(SUBSTITUTE(SUBSTITUTE(SUBSTITUTE(SUBSTITUTE(D68,"AliExpress",""),"aliexpress",""),"ALIEXPRESS",""),"Choice","")))</x:f>
      </x:c>
      <x:c r="F68" s="28"/>
      <x:c r="G68" s="28"/>
      <x:c r="H68" s="28" t="str">
        <x:f>IF(G68="","",HYPERLINK(G68,"Abrir foto"))</x:f>
      </x:c>
      <x:c r="I68" s="28" t="str">
        <x:f>IF(G68="","Sem foto",IF(OR(ISNUMBER(SEARCH("logo",G68)),ISNUMBER(SEARCH("sprite",G68)),ISNUMBER(SEARCH("aliexpress",G68))),"Revisar foto","OK"))</x:f>
        <x:v>Sem foto</x:v>
      </x:c>
      <x:c r="J68" s="28"/>
      <x:c r="K68" s="30"/>
      <x:c r="L68" s="30"/>
      <x:c r="M68" s="30" t="str">
        <x:f>IF(K68="","",K68+IF(L68="",0,L68))</x:f>
      </x:c>
      <x:c r="N68" s="30"/>
      <x:c r="O68" s="30" t="str">
        <x:f>IF(OR(N68="",M68=""),"",N68-M68)</x:f>
      </x:c>
      <x:c r="P68" s="29" t="str">
        <x:f>IF(OR(N68="",O68=""),"",O68/N68)</x:f>
      </x:c>
      <x:c r="Q68" s="28"/>
      <x:c r="R68" s="28"/>
      <x:c r="S68" s="28"/>
      <x:c r="T68" s="28"/>
      <x:c r="U68" s="28"/>
      <x:c r="V68" s="32"/>
      <x:c r="W68" s="28" t="str">
        <x:f>IF(OR(ISNUMBER(SEARCH("aliexpress",D68)),ISNUMBER(SEARCH("aliexpress",X68))),"Revisar mencao","OK")</x:f>
        <x:v>OK</x:v>
      </x:c>
      <x:c r="X68" s="28"/>
    </x:row>
    <x:row r="69">
      <x:c r="A69" s="28"/>
      <x:c r="B69" s="28"/>
      <x:c r="C69" s="28"/>
      <x:c r="D69" s="28"/>
      <x:c r="E69" s="28" t="str">
        <x:f>IF(D69="","",TRIM(SUBSTITUTE(SUBSTITUTE(SUBSTITUTE(SUBSTITUTE(D69,"AliExpress",""),"aliexpress",""),"ALIEXPRESS",""),"Choice","")))</x:f>
      </x:c>
      <x:c r="F69" s="28"/>
      <x:c r="G69" s="28"/>
      <x:c r="H69" s="28" t="str">
        <x:f>IF(G69="","",HYPERLINK(G69,"Abrir foto"))</x:f>
      </x:c>
      <x:c r="I69" s="28" t="str">
        <x:f>IF(G69="","Sem foto",IF(OR(ISNUMBER(SEARCH("logo",G69)),ISNUMBER(SEARCH("sprite",G69)),ISNUMBER(SEARCH("aliexpress",G69))),"Revisar foto","OK"))</x:f>
        <x:v>Sem foto</x:v>
      </x:c>
      <x:c r="J69" s="28"/>
      <x:c r="K69" s="30"/>
      <x:c r="L69" s="30"/>
      <x:c r="M69" s="30" t="str">
        <x:f>IF(K69="","",K69+IF(L69="",0,L69))</x:f>
      </x:c>
      <x:c r="N69" s="30"/>
      <x:c r="O69" s="30" t="str">
        <x:f>IF(OR(N69="",M69=""),"",N69-M69)</x:f>
      </x:c>
      <x:c r="P69" s="29" t="str">
        <x:f>IF(OR(N69="",O69=""),"",O69/N69)</x:f>
      </x:c>
      <x:c r="Q69" s="28"/>
      <x:c r="R69" s="28"/>
      <x:c r="S69" s="28"/>
      <x:c r="T69" s="28"/>
      <x:c r="U69" s="28"/>
      <x:c r="V69" s="32"/>
      <x:c r="W69" s="28" t="str">
        <x:f>IF(OR(ISNUMBER(SEARCH("aliexpress",D69)),ISNUMBER(SEARCH("aliexpress",X69))),"Revisar mencao","OK")</x:f>
        <x:v>OK</x:v>
      </x:c>
      <x:c r="X69" s="28"/>
    </x:row>
    <x:row r="70">
      <x:c r="A70" s="28"/>
      <x:c r="B70" s="28"/>
      <x:c r="C70" s="28"/>
      <x:c r="D70" s="28"/>
      <x:c r="E70" s="28" t="str">
        <x:f>IF(D70="","",TRIM(SUBSTITUTE(SUBSTITUTE(SUBSTITUTE(SUBSTITUTE(D70,"AliExpress",""),"aliexpress",""),"ALIEXPRESS",""),"Choice","")))</x:f>
      </x:c>
      <x:c r="F70" s="28"/>
      <x:c r="G70" s="28"/>
      <x:c r="H70" s="28" t="str">
        <x:f>IF(G70="","",HYPERLINK(G70,"Abrir foto"))</x:f>
      </x:c>
      <x:c r="I70" s="28" t="str">
        <x:f>IF(G70="","Sem foto",IF(OR(ISNUMBER(SEARCH("logo",G70)),ISNUMBER(SEARCH("sprite",G70)),ISNUMBER(SEARCH("aliexpress",G70))),"Revisar foto","OK"))</x:f>
        <x:v>Sem foto</x:v>
      </x:c>
      <x:c r="J70" s="28"/>
      <x:c r="K70" s="30"/>
      <x:c r="L70" s="30"/>
      <x:c r="M70" s="30" t="str">
        <x:f>IF(K70="","",K70+IF(L70="",0,L70))</x:f>
      </x:c>
      <x:c r="N70" s="30"/>
      <x:c r="O70" s="30" t="str">
        <x:f>IF(OR(N70="",M70=""),"",N70-M70)</x:f>
      </x:c>
      <x:c r="P70" s="29" t="str">
        <x:f>IF(OR(N70="",O70=""),"",O70/N70)</x:f>
      </x:c>
      <x:c r="Q70" s="28"/>
      <x:c r="R70" s="28"/>
      <x:c r="S70" s="28"/>
      <x:c r="T70" s="28"/>
      <x:c r="U70" s="28"/>
      <x:c r="V70" s="32"/>
      <x:c r="W70" s="28" t="str">
        <x:f>IF(OR(ISNUMBER(SEARCH("aliexpress",D70)),ISNUMBER(SEARCH("aliexpress",X70))),"Revisar mencao","OK")</x:f>
        <x:v>OK</x:v>
      </x:c>
      <x:c r="X70" s="28"/>
    </x:row>
    <x:row r="71">
      <x:c r="A71" s="28"/>
      <x:c r="B71" s="28"/>
      <x:c r="C71" s="28"/>
      <x:c r="D71" s="28"/>
      <x:c r="E71" s="28" t="str">
        <x:f>IF(D71="","",TRIM(SUBSTITUTE(SUBSTITUTE(SUBSTITUTE(SUBSTITUTE(D71,"AliExpress",""),"aliexpress",""),"ALIEXPRESS",""),"Choice","")))</x:f>
      </x:c>
      <x:c r="F71" s="28"/>
      <x:c r="G71" s="28"/>
      <x:c r="H71" s="28" t="str">
        <x:f>IF(G71="","",HYPERLINK(G71,"Abrir foto"))</x:f>
      </x:c>
      <x:c r="I71" s="28" t="str">
        <x:f>IF(G71="","Sem foto",IF(OR(ISNUMBER(SEARCH("logo",G71)),ISNUMBER(SEARCH("sprite",G71)),ISNUMBER(SEARCH("aliexpress",G71))),"Revisar foto","OK"))</x:f>
        <x:v>Sem foto</x:v>
      </x:c>
      <x:c r="J71" s="28"/>
      <x:c r="K71" s="30"/>
      <x:c r="L71" s="30"/>
      <x:c r="M71" s="30" t="str">
        <x:f>IF(K71="","",K71+IF(L71="",0,L71))</x:f>
      </x:c>
      <x:c r="N71" s="30"/>
      <x:c r="O71" s="30" t="str">
        <x:f>IF(OR(N71="",M71=""),"",N71-M71)</x:f>
      </x:c>
      <x:c r="P71" s="29" t="str">
        <x:f>IF(OR(N71="",O71=""),"",O71/N71)</x:f>
      </x:c>
      <x:c r="Q71" s="28"/>
      <x:c r="R71" s="28"/>
      <x:c r="S71" s="28"/>
      <x:c r="T71" s="28"/>
      <x:c r="U71" s="28"/>
      <x:c r="V71" s="32"/>
      <x:c r="W71" s="28" t="str">
        <x:f>IF(OR(ISNUMBER(SEARCH("aliexpress",D71)),ISNUMBER(SEARCH("aliexpress",X71))),"Revisar mencao","OK")</x:f>
        <x:v>OK</x:v>
      </x:c>
      <x:c r="X71" s="28"/>
    </x:row>
    <x:row r="72">
      <x:c r="A72" s="28"/>
      <x:c r="B72" s="28"/>
      <x:c r="C72" s="28"/>
      <x:c r="D72" s="28"/>
      <x:c r="E72" s="28" t="str">
        <x:f>IF(D72="","",TRIM(SUBSTITUTE(SUBSTITUTE(SUBSTITUTE(SUBSTITUTE(D72,"AliExpress",""),"aliexpress",""),"ALIEXPRESS",""),"Choice","")))</x:f>
      </x:c>
      <x:c r="F72" s="28"/>
      <x:c r="G72" s="28"/>
      <x:c r="H72" s="28" t="str">
        <x:f>IF(G72="","",HYPERLINK(G72,"Abrir foto"))</x:f>
      </x:c>
      <x:c r="I72" s="28" t="str">
        <x:f>IF(G72="","Sem foto",IF(OR(ISNUMBER(SEARCH("logo",G72)),ISNUMBER(SEARCH("sprite",G72)),ISNUMBER(SEARCH("aliexpress",G72))),"Revisar foto","OK"))</x:f>
        <x:v>Sem foto</x:v>
      </x:c>
      <x:c r="J72" s="28"/>
      <x:c r="K72" s="30"/>
      <x:c r="L72" s="30"/>
      <x:c r="M72" s="30" t="str">
        <x:f>IF(K72="","",K72+IF(L72="",0,L72))</x:f>
      </x:c>
      <x:c r="N72" s="30"/>
      <x:c r="O72" s="30" t="str">
        <x:f>IF(OR(N72="",M72=""),"",N72-M72)</x:f>
      </x:c>
      <x:c r="P72" s="29" t="str">
        <x:f>IF(OR(N72="",O72=""),"",O72/N72)</x:f>
      </x:c>
      <x:c r="Q72" s="28"/>
      <x:c r="R72" s="28"/>
      <x:c r="S72" s="28"/>
      <x:c r="T72" s="28"/>
      <x:c r="U72" s="28"/>
      <x:c r="V72" s="32"/>
      <x:c r="W72" s="28" t="str">
        <x:f>IF(OR(ISNUMBER(SEARCH("aliexpress",D72)),ISNUMBER(SEARCH("aliexpress",X72))),"Revisar mencao","OK")</x:f>
        <x:v>OK</x:v>
      </x:c>
      <x:c r="X72" s="28"/>
    </x:row>
    <x:row r="73">
      <x:c r="A73" s="28"/>
      <x:c r="B73" s="28"/>
      <x:c r="C73" s="28"/>
      <x:c r="D73" s="28"/>
      <x:c r="E73" s="28" t="str">
        <x:f>IF(D73="","",TRIM(SUBSTITUTE(SUBSTITUTE(SUBSTITUTE(SUBSTITUTE(D73,"AliExpress",""),"aliexpress",""),"ALIEXPRESS",""),"Choice","")))</x:f>
      </x:c>
      <x:c r="F73" s="28"/>
      <x:c r="G73" s="28"/>
      <x:c r="H73" s="28" t="str">
        <x:f>IF(G73="","",HYPERLINK(G73,"Abrir foto"))</x:f>
      </x:c>
      <x:c r="I73" s="28" t="str">
        <x:f>IF(G73="","Sem foto",IF(OR(ISNUMBER(SEARCH("logo",G73)),ISNUMBER(SEARCH("sprite",G73)),ISNUMBER(SEARCH("aliexpress",G73))),"Revisar foto","OK"))</x:f>
        <x:v>Sem foto</x:v>
      </x:c>
      <x:c r="J73" s="28"/>
      <x:c r="K73" s="30"/>
      <x:c r="L73" s="30"/>
      <x:c r="M73" s="30" t="str">
        <x:f>IF(K73="","",K73+IF(L73="",0,L73))</x:f>
      </x:c>
      <x:c r="N73" s="30"/>
      <x:c r="O73" s="30" t="str">
        <x:f>IF(OR(N73="",M73=""),"",N73-M73)</x:f>
      </x:c>
      <x:c r="P73" s="29" t="str">
        <x:f>IF(OR(N73="",O73=""),"",O73/N73)</x:f>
      </x:c>
      <x:c r="Q73" s="28"/>
      <x:c r="R73" s="28"/>
      <x:c r="S73" s="28"/>
      <x:c r="T73" s="28"/>
      <x:c r="U73" s="28"/>
      <x:c r="V73" s="32"/>
      <x:c r="W73" s="28" t="str">
        <x:f>IF(OR(ISNUMBER(SEARCH("aliexpress",D73)),ISNUMBER(SEARCH("aliexpress",X73))),"Revisar mencao","OK")</x:f>
        <x:v>OK</x:v>
      </x:c>
      <x:c r="X73" s="28"/>
    </x:row>
    <x:row r="74">
      <x:c r="A74" s="28"/>
      <x:c r="B74" s="28"/>
      <x:c r="C74" s="28"/>
      <x:c r="D74" s="28"/>
      <x:c r="E74" s="28" t="str">
        <x:f>IF(D74="","",TRIM(SUBSTITUTE(SUBSTITUTE(SUBSTITUTE(SUBSTITUTE(D74,"AliExpress",""),"aliexpress",""),"ALIEXPRESS",""),"Choice","")))</x:f>
      </x:c>
      <x:c r="F74" s="28"/>
      <x:c r="G74" s="28"/>
      <x:c r="H74" s="28" t="str">
        <x:f>IF(G74="","",HYPERLINK(G74,"Abrir foto"))</x:f>
      </x:c>
      <x:c r="I74" s="28" t="str">
        <x:f>IF(G74="","Sem foto",IF(OR(ISNUMBER(SEARCH("logo",G74)),ISNUMBER(SEARCH("sprite",G74)),ISNUMBER(SEARCH("aliexpress",G74))),"Revisar foto","OK"))</x:f>
        <x:v>Sem foto</x:v>
      </x:c>
      <x:c r="J74" s="28"/>
      <x:c r="K74" s="30"/>
      <x:c r="L74" s="30"/>
      <x:c r="M74" s="30" t="str">
        <x:f>IF(K74="","",K74+IF(L74="",0,L74))</x:f>
      </x:c>
      <x:c r="N74" s="30"/>
      <x:c r="O74" s="30" t="str">
        <x:f>IF(OR(N74="",M74=""),"",N74-M74)</x:f>
      </x:c>
      <x:c r="P74" s="29" t="str">
        <x:f>IF(OR(N74="",O74=""),"",O74/N74)</x:f>
      </x:c>
      <x:c r="Q74" s="28"/>
      <x:c r="R74" s="28"/>
      <x:c r="S74" s="28"/>
      <x:c r="T74" s="28"/>
      <x:c r="U74" s="28"/>
      <x:c r="V74" s="32"/>
      <x:c r="W74" s="28" t="str">
        <x:f>IF(OR(ISNUMBER(SEARCH("aliexpress",D74)),ISNUMBER(SEARCH("aliexpress",X74))),"Revisar mencao","OK")</x:f>
        <x:v>OK</x:v>
      </x:c>
      <x:c r="X74" s="28"/>
    </x:row>
    <x:row r="75">
      <x:c r="A75" s="28"/>
      <x:c r="B75" s="28"/>
      <x:c r="C75" s="28"/>
      <x:c r="D75" s="28"/>
      <x:c r="E75" s="28" t="str">
        <x:f>IF(D75="","",TRIM(SUBSTITUTE(SUBSTITUTE(SUBSTITUTE(SUBSTITUTE(D75,"AliExpress",""),"aliexpress",""),"ALIEXPRESS",""),"Choice","")))</x:f>
      </x:c>
      <x:c r="F75" s="28"/>
      <x:c r="G75" s="28"/>
      <x:c r="H75" s="28" t="str">
        <x:f>IF(G75="","",HYPERLINK(G75,"Abrir foto"))</x:f>
      </x:c>
      <x:c r="I75" s="28" t="str">
        <x:f>IF(G75="","Sem foto",IF(OR(ISNUMBER(SEARCH("logo",G75)),ISNUMBER(SEARCH("sprite",G75)),ISNUMBER(SEARCH("aliexpress",G75))),"Revisar foto","OK"))</x:f>
        <x:v>Sem foto</x:v>
      </x:c>
      <x:c r="J75" s="28"/>
      <x:c r="K75" s="30"/>
      <x:c r="L75" s="30"/>
      <x:c r="M75" s="30" t="str">
        <x:f>IF(K75="","",K75+IF(L75="",0,L75))</x:f>
      </x:c>
      <x:c r="N75" s="30"/>
      <x:c r="O75" s="30" t="str">
        <x:f>IF(OR(N75="",M75=""),"",N75-M75)</x:f>
      </x:c>
      <x:c r="P75" s="29" t="str">
        <x:f>IF(OR(N75="",O75=""),"",O75/N75)</x:f>
      </x:c>
      <x:c r="Q75" s="28"/>
      <x:c r="R75" s="28"/>
      <x:c r="S75" s="28"/>
      <x:c r="T75" s="28"/>
      <x:c r="U75" s="28"/>
      <x:c r="V75" s="32"/>
      <x:c r="W75" s="28" t="str">
        <x:f>IF(OR(ISNUMBER(SEARCH("aliexpress",D75)),ISNUMBER(SEARCH("aliexpress",X75))),"Revisar mencao","OK")</x:f>
        <x:v>OK</x:v>
      </x:c>
      <x:c r="X75" s="28"/>
    </x:row>
    <x:row r="76">
      <x:c r="A76" s="28"/>
      <x:c r="B76" s="28"/>
      <x:c r="C76" s="28"/>
      <x:c r="D76" s="28"/>
      <x:c r="E76" s="28" t="str">
        <x:f>IF(D76="","",TRIM(SUBSTITUTE(SUBSTITUTE(SUBSTITUTE(SUBSTITUTE(D76,"AliExpress",""),"aliexpress",""),"ALIEXPRESS",""),"Choice","")))</x:f>
      </x:c>
      <x:c r="F76" s="28"/>
      <x:c r="G76" s="28"/>
      <x:c r="H76" s="28" t="str">
        <x:f>IF(G76="","",HYPERLINK(G76,"Abrir foto"))</x:f>
      </x:c>
      <x:c r="I76" s="28" t="str">
        <x:f>IF(G76="","Sem foto",IF(OR(ISNUMBER(SEARCH("logo",G76)),ISNUMBER(SEARCH("sprite",G76)),ISNUMBER(SEARCH("aliexpress",G76))),"Revisar foto","OK"))</x:f>
        <x:v>Sem foto</x:v>
      </x:c>
      <x:c r="J76" s="28"/>
      <x:c r="K76" s="30"/>
      <x:c r="L76" s="30"/>
      <x:c r="M76" s="30" t="str">
        <x:f>IF(K76="","",K76+IF(L76="",0,L76))</x:f>
      </x:c>
      <x:c r="N76" s="30"/>
      <x:c r="O76" s="30" t="str">
        <x:f>IF(OR(N76="",M76=""),"",N76-M76)</x:f>
      </x:c>
      <x:c r="P76" s="29" t="str">
        <x:f>IF(OR(N76="",O76=""),"",O76/N76)</x:f>
      </x:c>
      <x:c r="Q76" s="28"/>
      <x:c r="R76" s="28"/>
      <x:c r="S76" s="28"/>
      <x:c r="T76" s="28"/>
      <x:c r="U76" s="28"/>
      <x:c r="V76" s="32"/>
      <x:c r="W76" s="28" t="str">
        <x:f>IF(OR(ISNUMBER(SEARCH("aliexpress",D76)),ISNUMBER(SEARCH("aliexpress",X76))),"Revisar mencao","OK")</x:f>
        <x:v>OK</x:v>
      </x:c>
      <x:c r="X76" s="28"/>
    </x:row>
    <x:row r="77">
      <x:c r="A77" s="28"/>
      <x:c r="B77" s="28"/>
      <x:c r="C77" s="28"/>
      <x:c r="D77" s="28"/>
      <x:c r="E77" s="28" t="str">
        <x:f>IF(D77="","",TRIM(SUBSTITUTE(SUBSTITUTE(SUBSTITUTE(SUBSTITUTE(D77,"AliExpress",""),"aliexpress",""),"ALIEXPRESS",""),"Choice","")))</x:f>
      </x:c>
      <x:c r="F77" s="28"/>
      <x:c r="G77" s="28"/>
      <x:c r="H77" s="28" t="str">
        <x:f>IF(G77="","",HYPERLINK(G77,"Abrir foto"))</x:f>
      </x:c>
      <x:c r="I77" s="28" t="str">
        <x:f>IF(G77="","Sem foto",IF(OR(ISNUMBER(SEARCH("logo",G77)),ISNUMBER(SEARCH("sprite",G77)),ISNUMBER(SEARCH("aliexpress",G77))),"Revisar foto","OK"))</x:f>
        <x:v>Sem foto</x:v>
      </x:c>
      <x:c r="J77" s="28"/>
      <x:c r="K77" s="30"/>
      <x:c r="L77" s="30"/>
      <x:c r="M77" s="30" t="str">
        <x:f>IF(K77="","",K77+IF(L77="",0,L77))</x:f>
      </x:c>
      <x:c r="N77" s="30"/>
      <x:c r="O77" s="30" t="str">
        <x:f>IF(OR(N77="",M77=""),"",N77-M77)</x:f>
      </x:c>
      <x:c r="P77" s="29" t="str">
        <x:f>IF(OR(N77="",O77=""),"",O77/N77)</x:f>
      </x:c>
      <x:c r="Q77" s="28"/>
      <x:c r="R77" s="28"/>
      <x:c r="S77" s="28"/>
      <x:c r="T77" s="28"/>
      <x:c r="U77" s="28"/>
      <x:c r="V77" s="32"/>
      <x:c r="W77" s="28" t="str">
        <x:f>IF(OR(ISNUMBER(SEARCH("aliexpress",D77)),ISNUMBER(SEARCH("aliexpress",X77))),"Revisar mencao","OK")</x:f>
        <x:v>OK</x:v>
      </x:c>
      <x:c r="X77" s="28"/>
    </x:row>
    <x:row r="78">
      <x:c r="A78" s="28"/>
      <x:c r="B78" s="28"/>
      <x:c r="C78" s="28"/>
      <x:c r="D78" s="28"/>
      <x:c r="E78" s="28" t="str">
        <x:f>IF(D78="","",TRIM(SUBSTITUTE(SUBSTITUTE(SUBSTITUTE(SUBSTITUTE(D78,"AliExpress",""),"aliexpress",""),"ALIEXPRESS",""),"Choice","")))</x:f>
      </x:c>
      <x:c r="F78" s="28"/>
      <x:c r="G78" s="28"/>
      <x:c r="H78" s="28" t="str">
        <x:f>IF(G78="","",HYPERLINK(G78,"Abrir foto"))</x:f>
      </x:c>
      <x:c r="I78" s="28" t="str">
        <x:f>IF(G78="","Sem foto",IF(OR(ISNUMBER(SEARCH("logo",G78)),ISNUMBER(SEARCH("sprite",G78)),ISNUMBER(SEARCH("aliexpress",G78))),"Revisar foto","OK"))</x:f>
        <x:v>Sem foto</x:v>
      </x:c>
      <x:c r="J78" s="28"/>
      <x:c r="K78" s="30"/>
      <x:c r="L78" s="30"/>
      <x:c r="M78" s="30" t="str">
        <x:f>IF(K78="","",K78+IF(L78="",0,L78))</x:f>
      </x:c>
      <x:c r="N78" s="30"/>
      <x:c r="O78" s="30" t="str">
        <x:f>IF(OR(N78="",M78=""),"",N78-M78)</x:f>
      </x:c>
      <x:c r="P78" s="29" t="str">
        <x:f>IF(OR(N78="",O78=""),"",O78/N78)</x:f>
      </x:c>
      <x:c r="Q78" s="28"/>
      <x:c r="R78" s="28"/>
      <x:c r="S78" s="28"/>
      <x:c r="T78" s="28"/>
      <x:c r="U78" s="28"/>
      <x:c r="V78" s="32"/>
      <x:c r="W78" s="28" t="str">
        <x:f>IF(OR(ISNUMBER(SEARCH("aliexpress",D78)),ISNUMBER(SEARCH("aliexpress",X78))),"Revisar mencao","OK")</x:f>
        <x:v>OK</x:v>
      </x:c>
      <x:c r="X78" s="28"/>
    </x:row>
    <x:row r="79">
      <x:c r="A79" s="28"/>
      <x:c r="B79" s="28"/>
      <x:c r="C79" s="28"/>
      <x:c r="D79" s="28"/>
      <x:c r="E79" s="28" t="str">
        <x:f>IF(D79="","",TRIM(SUBSTITUTE(SUBSTITUTE(SUBSTITUTE(SUBSTITUTE(D79,"AliExpress",""),"aliexpress",""),"ALIEXPRESS",""),"Choice","")))</x:f>
      </x:c>
      <x:c r="F79" s="28"/>
      <x:c r="G79" s="28"/>
      <x:c r="H79" s="28" t="str">
        <x:f>IF(G79="","",HYPERLINK(G79,"Abrir foto"))</x:f>
      </x:c>
      <x:c r="I79" s="28" t="str">
        <x:f>IF(G79="","Sem foto",IF(OR(ISNUMBER(SEARCH("logo",G79)),ISNUMBER(SEARCH("sprite",G79)),ISNUMBER(SEARCH("aliexpress",G79))),"Revisar foto","OK"))</x:f>
        <x:v>Sem foto</x:v>
      </x:c>
      <x:c r="J79" s="28"/>
      <x:c r="K79" s="30"/>
      <x:c r="L79" s="30"/>
      <x:c r="M79" s="30" t="str">
        <x:f>IF(K79="","",K79+IF(L79="",0,L79))</x:f>
      </x:c>
      <x:c r="N79" s="30"/>
      <x:c r="O79" s="30" t="str">
        <x:f>IF(OR(N79="",M79=""),"",N79-M79)</x:f>
      </x:c>
      <x:c r="P79" s="29" t="str">
        <x:f>IF(OR(N79="",O79=""),"",O79/N79)</x:f>
      </x:c>
      <x:c r="Q79" s="28"/>
      <x:c r="R79" s="28"/>
      <x:c r="S79" s="28"/>
      <x:c r="T79" s="28"/>
      <x:c r="U79" s="28"/>
      <x:c r="V79" s="32"/>
      <x:c r="W79" s="28" t="str">
        <x:f>IF(OR(ISNUMBER(SEARCH("aliexpress",D79)),ISNUMBER(SEARCH("aliexpress",X79))),"Revisar mencao","OK")</x:f>
        <x:v>OK</x:v>
      </x:c>
      <x:c r="X79" s="28"/>
    </x:row>
    <x:row r="80">
      <x:c r="A80" s="28"/>
      <x:c r="B80" s="28"/>
      <x:c r="C80" s="28"/>
      <x:c r="D80" s="28"/>
      <x:c r="E80" s="28" t="str">
        <x:f>IF(D80="","",TRIM(SUBSTITUTE(SUBSTITUTE(SUBSTITUTE(SUBSTITUTE(D80,"AliExpress",""),"aliexpress",""),"ALIEXPRESS",""),"Choice","")))</x:f>
      </x:c>
      <x:c r="F80" s="28"/>
      <x:c r="G80" s="28"/>
      <x:c r="H80" s="28" t="str">
        <x:f>IF(G80="","",HYPERLINK(G80,"Abrir foto"))</x:f>
      </x:c>
      <x:c r="I80" s="28" t="str">
        <x:f>IF(G80="","Sem foto",IF(OR(ISNUMBER(SEARCH("logo",G80)),ISNUMBER(SEARCH("sprite",G80)),ISNUMBER(SEARCH("aliexpress",G80))),"Revisar foto","OK"))</x:f>
        <x:v>Sem foto</x:v>
      </x:c>
      <x:c r="J80" s="28"/>
      <x:c r="K80" s="30"/>
      <x:c r="L80" s="30"/>
      <x:c r="M80" s="30" t="str">
        <x:f>IF(K80="","",K80+IF(L80="",0,L80))</x:f>
      </x:c>
      <x:c r="N80" s="30"/>
      <x:c r="O80" s="30" t="str">
        <x:f>IF(OR(N80="",M80=""),"",N80-M80)</x:f>
      </x:c>
      <x:c r="P80" s="29" t="str">
        <x:f>IF(OR(N80="",O80=""),"",O80/N80)</x:f>
      </x:c>
      <x:c r="Q80" s="28"/>
      <x:c r="R80" s="28"/>
      <x:c r="S80" s="28"/>
      <x:c r="T80" s="28"/>
      <x:c r="U80" s="28"/>
      <x:c r="V80" s="32"/>
      <x:c r="W80" s="28" t="str">
        <x:f>IF(OR(ISNUMBER(SEARCH("aliexpress",D80)),ISNUMBER(SEARCH("aliexpress",X80))),"Revisar mencao","OK")</x:f>
        <x:v>OK</x:v>
      </x:c>
      <x:c r="X80" s="28"/>
    </x:row>
    <x:row r="81">
      <x:c r="A81" s="28"/>
      <x:c r="B81" s="28"/>
      <x:c r="C81" s="28"/>
      <x:c r="D81" s="28"/>
      <x:c r="E81" s="28" t="str">
        <x:f>IF(D81="","",TRIM(SUBSTITUTE(SUBSTITUTE(SUBSTITUTE(SUBSTITUTE(D81,"AliExpress",""),"aliexpress",""),"ALIEXPRESS",""),"Choice","")))</x:f>
      </x:c>
      <x:c r="F81" s="28"/>
      <x:c r="G81" s="28"/>
      <x:c r="H81" s="28" t="str">
        <x:f>IF(G81="","",HYPERLINK(G81,"Abrir foto"))</x:f>
      </x:c>
      <x:c r="I81" s="28" t="str">
        <x:f>IF(G81="","Sem foto",IF(OR(ISNUMBER(SEARCH("logo",G81)),ISNUMBER(SEARCH("sprite",G81)),ISNUMBER(SEARCH("aliexpress",G81))),"Revisar foto","OK"))</x:f>
        <x:v>Sem foto</x:v>
      </x:c>
      <x:c r="J81" s="28"/>
      <x:c r="K81" s="30"/>
      <x:c r="L81" s="30"/>
      <x:c r="M81" s="30" t="str">
        <x:f>IF(K81="","",K81+IF(L81="",0,L81))</x:f>
      </x:c>
      <x:c r="N81" s="30"/>
      <x:c r="O81" s="30" t="str">
        <x:f>IF(OR(N81="",M81=""),"",N81-M81)</x:f>
      </x:c>
      <x:c r="P81" s="29" t="str">
        <x:f>IF(OR(N81="",O81=""),"",O81/N81)</x:f>
      </x:c>
      <x:c r="Q81" s="28"/>
      <x:c r="R81" s="28"/>
      <x:c r="S81" s="28"/>
      <x:c r="T81" s="28"/>
      <x:c r="U81" s="28"/>
      <x:c r="V81" s="32"/>
      <x:c r="W81" s="28" t="str">
        <x:f>IF(OR(ISNUMBER(SEARCH("aliexpress",D81)),ISNUMBER(SEARCH("aliexpress",X81))),"Revisar mencao","OK")</x:f>
        <x:v>OK</x:v>
      </x:c>
      <x:c r="X81" s="28"/>
    </x:row>
    <x:row r="82">
      <x:c r="A82" s="28"/>
      <x:c r="B82" s="28"/>
      <x:c r="C82" s="28"/>
      <x:c r="D82" s="28"/>
      <x:c r="E82" s="28" t="str">
        <x:f>IF(D82="","",TRIM(SUBSTITUTE(SUBSTITUTE(SUBSTITUTE(SUBSTITUTE(D82,"AliExpress",""),"aliexpress",""),"ALIEXPRESS",""),"Choice","")))</x:f>
      </x:c>
      <x:c r="F82" s="28"/>
      <x:c r="G82" s="28"/>
      <x:c r="H82" s="28" t="str">
        <x:f>IF(G82="","",HYPERLINK(G82,"Abrir foto"))</x:f>
      </x:c>
      <x:c r="I82" s="28" t="str">
        <x:f>IF(G82="","Sem foto",IF(OR(ISNUMBER(SEARCH("logo",G82)),ISNUMBER(SEARCH("sprite",G82)),ISNUMBER(SEARCH("aliexpress",G82))),"Revisar foto","OK"))</x:f>
        <x:v>Sem foto</x:v>
      </x:c>
      <x:c r="J82" s="28"/>
      <x:c r="K82" s="30"/>
      <x:c r="L82" s="30"/>
      <x:c r="M82" s="30" t="str">
        <x:f>IF(K82="","",K82+IF(L82="",0,L82))</x:f>
      </x:c>
      <x:c r="N82" s="30"/>
      <x:c r="O82" s="30" t="str">
        <x:f>IF(OR(N82="",M82=""),"",N82-M82)</x:f>
      </x:c>
      <x:c r="P82" s="29" t="str">
        <x:f>IF(OR(N82="",O82=""),"",O82/N82)</x:f>
      </x:c>
      <x:c r="Q82" s="28"/>
      <x:c r="R82" s="28"/>
      <x:c r="S82" s="28"/>
      <x:c r="T82" s="28"/>
      <x:c r="U82" s="28"/>
      <x:c r="V82" s="32"/>
      <x:c r="W82" s="28" t="str">
        <x:f>IF(OR(ISNUMBER(SEARCH("aliexpress",D82)),ISNUMBER(SEARCH("aliexpress",X82))),"Revisar mencao","OK")</x:f>
        <x:v>OK</x:v>
      </x:c>
      <x:c r="X82" s="28"/>
    </x:row>
    <x:row r="83">
      <x:c r="A83" s="28"/>
      <x:c r="B83" s="28"/>
      <x:c r="C83" s="28"/>
      <x:c r="D83" s="28"/>
      <x:c r="E83" s="28" t="str">
        <x:f>IF(D83="","",TRIM(SUBSTITUTE(SUBSTITUTE(SUBSTITUTE(SUBSTITUTE(D83,"AliExpress",""),"aliexpress",""),"ALIEXPRESS",""),"Choice","")))</x:f>
      </x:c>
      <x:c r="F83" s="28"/>
      <x:c r="G83" s="28"/>
      <x:c r="H83" s="28" t="str">
        <x:f>IF(G83="","",HYPERLINK(G83,"Abrir foto"))</x:f>
      </x:c>
      <x:c r="I83" s="28" t="str">
        <x:f>IF(G83="","Sem foto",IF(OR(ISNUMBER(SEARCH("logo",G83)),ISNUMBER(SEARCH("sprite",G83)),ISNUMBER(SEARCH("aliexpress",G83))),"Revisar foto","OK"))</x:f>
        <x:v>Sem foto</x:v>
      </x:c>
      <x:c r="J83" s="28"/>
      <x:c r="K83" s="30"/>
      <x:c r="L83" s="30"/>
      <x:c r="M83" s="30" t="str">
        <x:f>IF(K83="","",K83+IF(L83="",0,L83))</x:f>
      </x:c>
      <x:c r="N83" s="30"/>
      <x:c r="O83" s="30" t="str">
        <x:f>IF(OR(N83="",M83=""),"",N83-M83)</x:f>
      </x:c>
      <x:c r="P83" s="29" t="str">
        <x:f>IF(OR(N83="",O83=""),"",O83/N83)</x:f>
      </x:c>
      <x:c r="Q83" s="28"/>
      <x:c r="R83" s="28"/>
      <x:c r="S83" s="28"/>
      <x:c r="T83" s="28"/>
      <x:c r="U83" s="28"/>
      <x:c r="V83" s="32"/>
      <x:c r="W83" s="28" t="str">
        <x:f>IF(OR(ISNUMBER(SEARCH("aliexpress",D83)),ISNUMBER(SEARCH("aliexpress",X83))),"Revisar mencao","OK")</x:f>
        <x:v>OK</x:v>
      </x:c>
      <x:c r="X83" s="28"/>
    </x:row>
    <x:row r="84">
      <x:c r="A84" s="28"/>
      <x:c r="B84" s="28"/>
      <x:c r="C84" s="28"/>
      <x:c r="D84" s="28"/>
      <x:c r="E84" s="28" t="str">
        <x:f>IF(D84="","",TRIM(SUBSTITUTE(SUBSTITUTE(SUBSTITUTE(SUBSTITUTE(D84,"AliExpress",""),"aliexpress",""),"ALIEXPRESS",""),"Choice","")))</x:f>
      </x:c>
      <x:c r="F84" s="28"/>
      <x:c r="G84" s="28"/>
      <x:c r="H84" s="28" t="str">
        <x:f>IF(G84="","",HYPERLINK(G84,"Abrir foto"))</x:f>
      </x:c>
      <x:c r="I84" s="28" t="str">
        <x:f>IF(G84="","Sem foto",IF(OR(ISNUMBER(SEARCH("logo",G84)),ISNUMBER(SEARCH("sprite",G84)),ISNUMBER(SEARCH("aliexpress",G84))),"Revisar foto","OK"))</x:f>
        <x:v>Sem foto</x:v>
      </x:c>
      <x:c r="J84" s="28"/>
      <x:c r="K84" s="30"/>
      <x:c r="L84" s="30"/>
      <x:c r="M84" s="30" t="str">
        <x:f>IF(K84="","",K84+IF(L84="",0,L84))</x:f>
      </x:c>
      <x:c r="N84" s="30"/>
      <x:c r="O84" s="30" t="str">
        <x:f>IF(OR(N84="",M84=""),"",N84-M84)</x:f>
      </x:c>
      <x:c r="P84" s="29" t="str">
        <x:f>IF(OR(N84="",O84=""),"",O84/N84)</x:f>
      </x:c>
      <x:c r="Q84" s="28"/>
      <x:c r="R84" s="28"/>
      <x:c r="S84" s="28"/>
      <x:c r="T84" s="28"/>
      <x:c r="U84" s="28"/>
      <x:c r="V84" s="32"/>
      <x:c r="W84" s="28" t="str">
        <x:f>IF(OR(ISNUMBER(SEARCH("aliexpress",D84)),ISNUMBER(SEARCH("aliexpress",X84))),"Revisar mencao","OK")</x:f>
        <x:v>OK</x:v>
      </x:c>
      <x:c r="X84" s="28"/>
    </x:row>
    <x:row r="85">
      <x:c r="A85" s="28"/>
      <x:c r="B85" s="28"/>
      <x:c r="C85" s="28"/>
      <x:c r="D85" s="28"/>
      <x:c r="E85" s="28" t="str">
        <x:f>IF(D85="","",TRIM(SUBSTITUTE(SUBSTITUTE(SUBSTITUTE(SUBSTITUTE(D85,"AliExpress",""),"aliexpress",""),"ALIEXPRESS",""),"Choice","")))</x:f>
      </x:c>
      <x:c r="F85" s="28"/>
      <x:c r="G85" s="28"/>
      <x:c r="H85" s="28" t="str">
        <x:f>IF(G85="","",HYPERLINK(G85,"Abrir foto"))</x:f>
      </x:c>
      <x:c r="I85" s="28" t="str">
        <x:f>IF(G85="","Sem foto",IF(OR(ISNUMBER(SEARCH("logo",G85)),ISNUMBER(SEARCH("sprite",G85)),ISNUMBER(SEARCH("aliexpress",G85))),"Revisar foto","OK"))</x:f>
        <x:v>Sem foto</x:v>
      </x:c>
      <x:c r="J85" s="28"/>
      <x:c r="K85" s="30"/>
      <x:c r="L85" s="30"/>
      <x:c r="M85" s="30" t="str">
        <x:f>IF(K85="","",K85+IF(L85="",0,L85))</x:f>
      </x:c>
      <x:c r="N85" s="30"/>
      <x:c r="O85" s="30" t="str">
        <x:f>IF(OR(N85="",M85=""),"",N85-M85)</x:f>
      </x:c>
      <x:c r="P85" s="29" t="str">
        <x:f>IF(OR(N85="",O85=""),"",O85/N85)</x:f>
      </x:c>
      <x:c r="Q85" s="28"/>
      <x:c r="R85" s="28"/>
      <x:c r="S85" s="28"/>
      <x:c r="T85" s="28"/>
      <x:c r="U85" s="28"/>
      <x:c r="V85" s="32"/>
      <x:c r="W85" s="28" t="str">
        <x:f>IF(OR(ISNUMBER(SEARCH("aliexpress",D85)),ISNUMBER(SEARCH("aliexpress",X85))),"Revisar mencao","OK")</x:f>
        <x:v>OK</x:v>
      </x:c>
      <x:c r="X85" s="28"/>
    </x:row>
    <x:row r="86">
      <x:c r="A86" s="28"/>
      <x:c r="B86" s="28"/>
      <x:c r="C86" s="28"/>
      <x:c r="D86" s="28"/>
      <x:c r="E86" s="28" t="str">
        <x:f>IF(D86="","",TRIM(SUBSTITUTE(SUBSTITUTE(SUBSTITUTE(SUBSTITUTE(D86,"AliExpress",""),"aliexpress",""),"ALIEXPRESS",""),"Choice","")))</x:f>
      </x:c>
      <x:c r="F86" s="28"/>
      <x:c r="G86" s="28"/>
      <x:c r="H86" s="28" t="str">
        <x:f>IF(G86="","",HYPERLINK(G86,"Abrir foto"))</x:f>
      </x:c>
      <x:c r="I86" s="28" t="str">
        <x:f>IF(G86="","Sem foto",IF(OR(ISNUMBER(SEARCH("logo",G86)),ISNUMBER(SEARCH("sprite",G86)),ISNUMBER(SEARCH("aliexpress",G86))),"Revisar foto","OK"))</x:f>
        <x:v>Sem foto</x:v>
      </x:c>
      <x:c r="J86" s="28"/>
      <x:c r="K86" s="30"/>
      <x:c r="L86" s="30"/>
      <x:c r="M86" s="30" t="str">
        <x:f>IF(K86="","",K86+IF(L86="",0,L86))</x:f>
      </x:c>
      <x:c r="N86" s="30"/>
      <x:c r="O86" s="30" t="str">
        <x:f>IF(OR(N86="",M86=""),"",N86-M86)</x:f>
      </x:c>
      <x:c r="P86" s="29" t="str">
        <x:f>IF(OR(N86="",O86=""),"",O86/N86)</x:f>
      </x:c>
      <x:c r="Q86" s="28"/>
      <x:c r="R86" s="28"/>
      <x:c r="S86" s="28"/>
      <x:c r="T86" s="28"/>
      <x:c r="U86" s="28"/>
      <x:c r="V86" s="32"/>
      <x:c r="W86" s="28" t="str">
        <x:f>IF(OR(ISNUMBER(SEARCH("aliexpress",D86)),ISNUMBER(SEARCH("aliexpress",X86))),"Revisar mencao","OK")</x:f>
        <x:v>OK</x:v>
      </x:c>
      <x:c r="X86" s="28"/>
    </x:row>
    <x:row r="87">
      <x:c r="A87" s="28"/>
      <x:c r="B87" s="28"/>
      <x:c r="C87" s="28"/>
      <x:c r="D87" s="28"/>
      <x:c r="E87" s="28" t="str">
        <x:f>IF(D87="","",TRIM(SUBSTITUTE(SUBSTITUTE(SUBSTITUTE(SUBSTITUTE(D87,"AliExpress",""),"aliexpress",""),"ALIEXPRESS",""),"Choice","")))</x:f>
      </x:c>
      <x:c r="F87" s="28"/>
      <x:c r="G87" s="28"/>
      <x:c r="H87" s="28" t="str">
        <x:f>IF(G87="","",HYPERLINK(G87,"Abrir foto"))</x:f>
      </x:c>
      <x:c r="I87" s="28" t="str">
        <x:f>IF(G87="","Sem foto",IF(OR(ISNUMBER(SEARCH("logo",G87)),ISNUMBER(SEARCH("sprite",G87)),ISNUMBER(SEARCH("aliexpress",G87))),"Revisar foto","OK"))</x:f>
        <x:v>Sem foto</x:v>
      </x:c>
      <x:c r="J87" s="28"/>
      <x:c r="K87" s="30"/>
      <x:c r="L87" s="30"/>
      <x:c r="M87" s="30" t="str">
        <x:f>IF(K87="","",K87+IF(L87="",0,L87))</x:f>
      </x:c>
      <x:c r="N87" s="30"/>
      <x:c r="O87" s="30" t="str">
        <x:f>IF(OR(N87="",M87=""),"",N87-M87)</x:f>
      </x:c>
      <x:c r="P87" s="29" t="str">
        <x:f>IF(OR(N87="",O87=""),"",O87/N87)</x:f>
      </x:c>
      <x:c r="Q87" s="28"/>
      <x:c r="R87" s="28"/>
      <x:c r="S87" s="28"/>
      <x:c r="T87" s="28"/>
      <x:c r="U87" s="28"/>
      <x:c r="V87" s="32"/>
      <x:c r="W87" s="28" t="str">
        <x:f>IF(OR(ISNUMBER(SEARCH("aliexpress",D87)),ISNUMBER(SEARCH("aliexpress",X87))),"Revisar mencao","OK")</x:f>
        <x:v>OK</x:v>
      </x:c>
      <x:c r="X87" s="28"/>
    </x:row>
    <x:row r="88">
      <x:c r="A88" s="28"/>
      <x:c r="B88" s="28"/>
      <x:c r="C88" s="28"/>
      <x:c r="D88" s="28"/>
      <x:c r="E88" s="28" t="str">
        <x:f>IF(D88="","",TRIM(SUBSTITUTE(SUBSTITUTE(SUBSTITUTE(SUBSTITUTE(D88,"AliExpress",""),"aliexpress",""),"ALIEXPRESS",""),"Choice","")))</x:f>
      </x:c>
      <x:c r="F88" s="28"/>
      <x:c r="G88" s="28"/>
      <x:c r="H88" s="28" t="str">
        <x:f>IF(G88="","",HYPERLINK(G88,"Abrir foto"))</x:f>
      </x:c>
      <x:c r="I88" s="28" t="str">
        <x:f>IF(G88="","Sem foto",IF(OR(ISNUMBER(SEARCH("logo",G88)),ISNUMBER(SEARCH("sprite",G88)),ISNUMBER(SEARCH("aliexpress",G88))),"Revisar foto","OK"))</x:f>
        <x:v>Sem foto</x:v>
      </x:c>
      <x:c r="J88" s="28"/>
      <x:c r="K88" s="30"/>
      <x:c r="L88" s="30"/>
      <x:c r="M88" s="30" t="str">
        <x:f>IF(K88="","",K88+IF(L88="",0,L88))</x:f>
      </x:c>
      <x:c r="N88" s="30"/>
      <x:c r="O88" s="30" t="str">
        <x:f>IF(OR(N88="",M88=""),"",N88-M88)</x:f>
      </x:c>
      <x:c r="P88" s="29" t="str">
        <x:f>IF(OR(N88="",O88=""),"",O88/N88)</x:f>
      </x:c>
      <x:c r="Q88" s="28"/>
      <x:c r="R88" s="28"/>
      <x:c r="S88" s="28"/>
      <x:c r="T88" s="28"/>
      <x:c r="U88" s="28"/>
      <x:c r="V88" s="32"/>
      <x:c r="W88" s="28" t="str">
        <x:f>IF(OR(ISNUMBER(SEARCH("aliexpress",D88)),ISNUMBER(SEARCH("aliexpress",X88))),"Revisar mencao","OK")</x:f>
        <x:v>OK</x:v>
      </x:c>
      <x:c r="X88" s="28"/>
    </x:row>
    <x:row r="89">
      <x:c r="A89" s="28"/>
      <x:c r="B89" s="28"/>
      <x:c r="C89" s="28"/>
      <x:c r="D89" s="28"/>
      <x:c r="E89" s="28" t="str">
        <x:f>IF(D89="","",TRIM(SUBSTITUTE(SUBSTITUTE(SUBSTITUTE(SUBSTITUTE(D89,"AliExpress",""),"aliexpress",""),"ALIEXPRESS",""),"Choice","")))</x:f>
      </x:c>
      <x:c r="F89" s="28"/>
      <x:c r="G89" s="28"/>
      <x:c r="H89" s="28" t="str">
        <x:f>IF(G89="","",HYPERLINK(G89,"Abrir foto"))</x:f>
      </x:c>
      <x:c r="I89" s="28" t="str">
        <x:f>IF(G89="","Sem foto",IF(OR(ISNUMBER(SEARCH("logo",G89)),ISNUMBER(SEARCH("sprite",G89)),ISNUMBER(SEARCH("aliexpress",G89))),"Revisar foto","OK"))</x:f>
        <x:v>Sem foto</x:v>
      </x:c>
      <x:c r="J89" s="28"/>
      <x:c r="K89" s="30"/>
      <x:c r="L89" s="30"/>
      <x:c r="M89" s="30" t="str">
        <x:f>IF(K89="","",K89+IF(L89="",0,L89))</x:f>
      </x:c>
      <x:c r="N89" s="30"/>
      <x:c r="O89" s="30" t="str">
        <x:f>IF(OR(N89="",M89=""),"",N89-M89)</x:f>
      </x:c>
      <x:c r="P89" s="29" t="str">
        <x:f>IF(OR(N89="",O89=""),"",O89/N89)</x:f>
      </x:c>
      <x:c r="Q89" s="28"/>
      <x:c r="R89" s="28"/>
      <x:c r="S89" s="28"/>
      <x:c r="T89" s="28"/>
      <x:c r="U89" s="28"/>
      <x:c r="V89" s="32"/>
      <x:c r="W89" s="28" t="str">
        <x:f>IF(OR(ISNUMBER(SEARCH("aliexpress",D89)),ISNUMBER(SEARCH("aliexpress",X89))),"Revisar mencao","OK")</x:f>
        <x:v>OK</x:v>
      </x:c>
      <x:c r="X89" s="28"/>
    </x:row>
    <x:row r="90">
      <x:c r="A90" s="28"/>
      <x:c r="B90" s="28"/>
      <x:c r="C90" s="28"/>
      <x:c r="D90" s="28"/>
      <x:c r="E90" s="28" t="str">
        <x:f>IF(D90="","",TRIM(SUBSTITUTE(SUBSTITUTE(SUBSTITUTE(SUBSTITUTE(D90,"AliExpress",""),"aliexpress",""),"ALIEXPRESS",""),"Choice","")))</x:f>
      </x:c>
      <x:c r="F90" s="28"/>
      <x:c r="G90" s="28"/>
      <x:c r="H90" s="28" t="str">
        <x:f>IF(G90="","",HYPERLINK(G90,"Abrir foto"))</x:f>
      </x:c>
      <x:c r="I90" s="28" t="str">
        <x:f>IF(G90="","Sem foto",IF(OR(ISNUMBER(SEARCH("logo",G90)),ISNUMBER(SEARCH("sprite",G90)),ISNUMBER(SEARCH("aliexpress",G90))),"Revisar foto","OK"))</x:f>
        <x:v>Sem foto</x:v>
      </x:c>
      <x:c r="J90" s="28"/>
      <x:c r="K90" s="30"/>
      <x:c r="L90" s="30"/>
      <x:c r="M90" s="30" t="str">
        <x:f>IF(K90="","",K90+IF(L90="",0,L90))</x:f>
      </x:c>
      <x:c r="N90" s="30"/>
      <x:c r="O90" s="30" t="str">
        <x:f>IF(OR(N90="",M90=""),"",N90-M90)</x:f>
      </x:c>
      <x:c r="P90" s="29" t="str">
        <x:f>IF(OR(N90="",O90=""),"",O90/N90)</x:f>
      </x:c>
      <x:c r="Q90" s="28"/>
      <x:c r="R90" s="28"/>
      <x:c r="S90" s="28"/>
      <x:c r="T90" s="28"/>
      <x:c r="U90" s="28"/>
      <x:c r="V90" s="32"/>
      <x:c r="W90" s="28" t="str">
        <x:f>IF(OR(ISNUMBER(SEARCH("aliexpress",D90)),ISNUMBER(SEARCH("aliexpress",X90))),"Revisar mencao","OK")</x:f>
        <x:v>OK</x:v>
      </x:c>
      <x:c r="X90" s="28"/>
    </x:row>
    <x:row r="91">
      <x:c r="A91" s="28"/>
      <x:c r="B91" s="28"/>
      <x:c r="C91" s="28"/>
      <x:c r="D91" s="28"/>
      <x:c r="E91" s="28" t="str">
        <x:f>IF(D91="","",TRIM(SUBSTITUTE(SUBSTITUTE(SUBSTITUTE(SUBSTITUTE(D91,"AliExpress",""),"aliexpress",""),"ALIEXPRESS",""),"Choice","")))</x:f>
      </x:c>
      <x:c r="F91" s="28"/>
      <x:c r="G91" s="28"/>
      <x:c r="H91" s="28" t="str">
        <x:f>IF(G91="","",HYPERLINK(G91,"Abrir foto"))</x:f>
      </x:c>
      <x:c r="I91" s="28" t="str">
        <x:f>IF(G91="","Sem foto",IF(OR(ISNUMBER(SEARCH("logo",G91)),ISNUMBER(SEARCH("sprite",G91)),ISNUMBER(SEARCH("aliexpress",G91))),"Revisar foto","OK"))</x:f>
        <x:v>Sem foto</x:v>
      </x:c>
      <x:c r="J91" s="28"/>
      <x:c r="K91" s="30"/>
      <x:c r="L91" s="30"/>
      <x:c r="M91" s="30" t="str">
        <x:f>IF(K91="","",K91+IF(L91="",0,L91))</x:f>
      </x:c>
      <x:c r="N91" s="30"/>
      <x:c r="O91" s="30" t="str">
        <x:f>IF(OR(N91="",M91=""),"",N91-M91)</x:f>
      </x:c>
      <x:c r="P91" s="29" t="str">
        <x:f>IF(OR(N91="",O91=""),"",O91/N91)</x:f>
      </x:c>
      <x:c r="Q91" s="28"/>
      <x:c r="R91" s="28"/>
      <x:c r="S91" s="28"/>
      <x:c r="T91" s="28"/>
      <x:c r="U91" s="28"/>
      <x:c r="V91" s="32"/>
      <x:c r="W91" s="28" t="str">
        <x:f>IF(OR(ISNUMBER(SEARCH("aliexpress",D91)),ISNUMBER(SEARCH("aliexpress",X91))),"Revisar mencao","OK")</x:f>
        <x:v>OK</x:v>
      </x:c>
      <x:c r="X91" s="28"/>
    </x:row>
    <x:row r="92">
      <x:c r="A92" s="28"/>
      <x:c r="B92" s="28"/>
      <x:c r="C92" s="28"/>
      <x:c r="D92" s="28"/>
      <x:c r="E92" s="28" t="str">
        <x:f>IF(D92="","",TRIM(SUBSTITUTE(SUBSTITUTE(SUBSTITUTE(SUBSTITUTE(D92,"AliExpress",""),"aliexpress",""),"ALIEXPRESS",""),"Choice","")))</x:f>
      </x:c>
      <x:c r="F92" s="28"/>
      <x:c r="G92" s="28"/>
      <x:c r="H92" s="28" t="str">
        <x:f>IF(G92="","",HYPERLINK(G92,"Abrir foto"))</x:f>
      </x:c>
      <x:c r="I92" s="28" t="str">
        <x:f>IF(G92="","Sem foto",IF(OR(ISNUMBER(SEARCH("logo",G92)),ISNUMBER(SEARCH("sprite",G92)),ISNUMBER(SEARCH("aliexpress",G92))),"Revisar foto","OK"))</x:f>
        <x:v>Sem foto</x:v>
      </x:c>
      <x:c r="J92" s="28"/>
      <x:c r="K92" s="30"/>
      <x:c r="L92" s="30"/>
      <x:c r="M92" s="30" t="str">
        <x:f>IF(K92="","",K92+IF(L92="",0,L92))</x:f>
      </x:c>
      <x:c r="N92" s="30"/>
      <x:c r="O92" s="30" t="str">
        <x:f>IF(OR(N92="",M92=""),"",N92-M92)</x:f>
      </x:c>
      <x:c r="P92" s="29" t="str">
        <x:f>IF(OR(N92="",O92=""),"",O92/N92)</x:f>
      </x:c>
      <x:c r="Q92" s="28"/>
      <x:c r="R92" s="28"/>
      <x:c r="S92" s="28"/>
      <x:c r="T92" s="28"/>
      <x:c r="U92" s="28"/>
      <x:c r="V92" s="32"/>
      <x:c r="W92" s="28" t="str">
        <x:f>IF(OR(ISNUMBER(SEARCH("aliexpress",D92)),ISNUMBER(SEARCH("aliexpress",X92))),"Revisar mencao","OK")</x:f>
        <x:v>OK</x:v>
      </x:c>
      <x:c r="X92" s="28"/>
    </x:row>
    <x:row r="93">
      <x:c r="A93" s="28"/>
      <x:c r="B93" s="28"/>
      <x:c r="C93" s="28"/>
      <x:c r="D93" s="28"/>
      <x:c r="E93" s="28" t="str">
        <x:f>IF(D93="","",TRIM(SUBSTITUTE(SUBSTITUTE(SUBSTITUTE(SUBSTITUTE(D93,"AliExpress",""),"aliexpress",""),"ALIEXPRESS",""),"Choice","")))</x:f>
      </x:c>
      <x:c r="F93" s="28"/>
      <x:c r="G93" s="28"/>
      <x:c r="H93" s="28" t="str">
        <x:f>IF(G93="","",HYPERLINK(G93,"Abrir foto"))</x:f>
      </x:c>
      <x:c r="I93" s="28" t="str">
        <x:f>IF(G93="","Sem foto",IF(OR(ISNUMBER(SEARCH("logo",G93)),ISNUMBER(SEARCH("sprite",G93)),ISNUMBER(SEARCH("aliexpress",G93))),"Revisar foto","OK"))</x:f>
        <x:v>Sem foto</x:v>
      </x:c>
      <x:c r="J93" s="28"/>
      <x:c r="K93" s="30"/>
      <x:c r="L93" s="30"/>
      <x:c r="M93" s="30" t="str">
        <x:f>IF(K93="","",K93+IF(L93="",0,L93))</x:f>
      </x:c>
      <x:c r="N93" s="30"/>
      <x:c r="O93" s="30" t="str">
        <x:f>IF(OR(N93="",M93=""),"",N93-M93)</x:f>
      </x:c>
      <x:c r="P93" s="29" t="str">
        <x:f>IF(OR(N93="",O93=""),"",O93/N93)</x:f>
      </x:c>
      <x:c r="Q93" s="28"/>
      <x:c r="R93" s="28"/>
      <x:c r="S93" s="28"/>
      <x:c r="T93" s="28"/>
      <x:c r="U93" s="28"/>
      <x:c r="V93" s="32"/>
      <x:c r="W93" s="28" t="str">
        <x:f>IF(OR(ISNUMBER(SEARCH("aliexpress",D93)),ISNUMBER(SEARCH("aliexpress",X93))),"Revisar mencao","OK")</x:f>
        <x:v>OK</x:v>
      </x:c>
      <x:c r="X93" s="28"/>
    </x:row>
    <x:row r="94">
      <x:c r="A94" s="28"/>
      <x:c r="B94" s="28"/>
      <x:c r="C94" s="28"/>
      <x:c r="D94" s="28"/>
      <x:c r="E94" s="28" t="str">
        <x:f>IF(D94="","",TRIM(SUBSTITUTE(SUBSTITUTE(SUBSTITUTE(SUBSTITUTE(D94,"AliExpress",""),"aliexpress",""),"ALIEXPRESS",""),"Choice","")))</x:f>
      </x:c>
      <x:c r="F94" s="28"/>
      <x:c r="G94" s="28"/>
      <x:c r="H94" s="28" t="str">
        <x:f>IF(G94="","",HYPERLINK(G94,"Abrir foto"))</x:f>
      </x:c>
      <x:c r="I94" s="28" t="str">
        <x:f>IF(G94="","Sem foto",IF(OR(ISNUMBER(SEARCH("logo",G94)),ISNUMBER(SEARCH("sprite",G94)),ISNUMBER(SEARCH("aliexpress",G94))),"Revisar foto","OK"))</x:f>
        <x:v>Sem foto</x:v>
      </x:c>
      <x:c r="J94" s="28"/>
      <x:c r="K94" s="30"/>
      <x:c r="L94" s="30"/>
      <x:c r="M94" s="30" t="str">
        <x:f>IF(K94="","",K94+IF(L94="",0,L94))</x:f>
      </x:c>
      <x:c r="N94" s="30"/>
      <x:c r="O94" s="30" t="str">
        <x:f>IF(OR(N94="",M94=""),"",N94-M94)</x:f>
      </x:c>
      <x:c r="P94" s="29" t="str">
        <x:f>IF(OR(N94="",O94=""),"",O94/N94)</x:f>
      </x:c>
      <x:c r="Q94" s="28"/>
      <x:c r="R94" s="28"/>
      <x:c r="S94" s="28"/>
      <x:c r="T94" s="28"/>
      <x:c r="U94" s="28"/>
      <x:c r="V94" s="32"/>
      <x:c r="W94" s="28" t="str">
        <x:f>IF(OR(ISNUMBER(SEARCH("aliexpress",D94)),ISNUMBER(SEARCH("aliexpress",X94))),"Revisar mencao","OK")</x:f>
        <x:v>OK</x:v>
      </x:c>
      <x:c r="X94" s="28"/>
    </x:row>
    <x:row r="95">
      <x:c r="A95" s="28"/>
      <x:c r="B95" s="28"/>
      <x:c r="C95" s="28"/>
      <x:c r="D95" s="28"/>
      <x:c r="E95" s="28" t="str">
        <x:f>IF(D95="","",TRIM(SUBSTITUTE(SUBSTITUTE(SUBSTITUTE(SUBSTITUTE(D95,"AliExpress",""),"aliexpress",""),"ALIEXPRESS",""),"Choice","")))</x:f>
      </x:c>
      <x:c r="F95" s="28"/>
      <x:c r="G95" s="28"/>
      <x:c r="H95" s="28" t="str">
        <x:f>IF(G95="","",HYPERLINK(G95,"Abrir foto"))</x:f>
      </x:c>
      <x:c r="I95" s="28" t="str">
        <x:f>IF(G95="","Sem foto",IF(OR(ISNUMBER(SEARCH("logo",G95)),ISNUMBER(SEARCH("sprite",G95)),ISNUMBER(SEARCH("aliexpress",G95))),"Revisar foto","OK"))</x:f>
        <x:v>Sem foto</x:v>
      </x:c>
      <x:c r="J95" s="28"/>
      <x:c r="K95" s="30"/>
      <x:c r="L95" s="30"/>
      <x:c r="M95" s="30" t="str">
        <x:f>IF(K95="","",K95+IF(L95="",0,L95))</x:f>
      </x:c>
      <x:c r="N95" s="30"/>
      <x:c r="O95" s="30" t="str">
        <x:f>IF(OR(N95="",M95=""),"",N95-M95)</x:f>
      </x:c>
      <x:c r="P95" s="29" t="str">
        <x:f>IF(OR(N95="",O95=""),"",O95/N95)</x:f>
      </x:c>
      <x:c r="Q95" s="28"/>
      <x:c r="R95" s="28"/>
      <x:c r="S95" s="28"/>
      <x:c r="T95" s="28"/>
      <x:c r="U95" s="28"/>
      <x:c r="V95" s="32"/>
      <x:c r="W95" s="28" t="str">
        <x:f>IF(OR(ISNUMBER(SEARCH("aliexpress",D95)),ISNUMBER(SEARCH("aliexpress",X95))),"Revisar mencao","OK")</x:f>
        <x:v>OK</x:v>
      </x:c>
      <x:c r="X95" s="28"/>
    </x:row>
    <x:row r="96">
      <x:c r="A96" s="28"/>
      <x:c r="B96" s="28"/>
      <x:c r="C96" s="28"/>
      <x:c r="D96" s="28"/>
      <x:c r="E96" s="28" t="str">
        <x:f>IF(D96="","",TRIM(SUBSTITUTE(SUBSTITUTE(SUBSTITUTE(SUBSTITUTE(D96,"AliExpress",""),"aliexpress",""),"ALIEXPRESS",""),"Choice","")))</x:f>
      </x:c>
      <x:c r="F96" s="28"/>
      <x:c r="G96" s="28"/>
      <x:c r="H96" s="28" t="str">
        <x:f>IF(G96="","",HYPERLINK(G96,"Abrir foto"))</x:f>
      </x:c>
      <x:c r="I96" s="28" t="str">
        <x:f>IF(G96="","Sem foto",IF(OR(ISNUMBER(SEARCH("logo",G96)),ISNUMBER(SEARCH("sprite",G96)),ISNUMBER(SEARCH("aliexpress",G96))),"Revisar foto","OK"))</x:f>
        <x:v>Sem foto</x:v>
      </x:c>
      <x:c r="J96" s="28"/>
      <x:c r="K96" s="30"/>
      <x:c r="L96" s="30"/>
      <x:c r="M96" s="30" t="str">
        <x:f>IF(K96="","",K96+IF(L96="",0,L96))</x:f>
      </x:c>
      <x:c r="N96" s="30"/>
      <x:c r="O96" s="30" t="str">
        <x:f>IF(OR(N96="",M96=""),"",N96-M96)</x:f>
      </x:c>
      <x:c r="P96" s="29" t="str">
        <x:f>IF(OR(N96="",O96=""),"",O96/N96)</x:f>
      </x:c>
      <x:c r="Q96" s="28"/>
      <x:c r="R96" s="28"/>
      <x:c r="S96" s="28"/>
      <x:c r="T96" s="28"/>
      <x:c r="U96" s="28"/>
      <x:c r="V96" s="32"/>
      <x:c r="W96" s="28" t="str">
        <x:f>IF(OR(ISNUMBER(SEARCH("aliexpress",D96)),ISNUMBER(SEARCH("aliexpress",X96))),"Revisar mencao","OK")</x:f>
        <x:v>OK</x:v>
      </x:c>
      <x:c r="X96" s="28"/>
    </x:row>
    <x:row r="97">
      <x:c r="A97" s="28"/>
      <x:c r="B97" s="28"/>
      <x:c r="C97" s="28"/>
      <x:c r="D97" s="28"/>
      <x:c r="E97" s="28" t="str">
        <x:f>IF(D97="","",TRIM(SUBSTITUTE(SUBSTITUTE(SUBSTITUTE(SUBSTITUTE(D97,"AliExpress",""),"aliexpress",""),"ALIEXPRESS",""),"Choice","")))</x:f>
      </x:c>
      <x:c r="F97" s="28"/>
      <x:c r="G97" s="28"/>
      <x:c r="H97" s="28" t="str">
        <x:f>IF(G97="","",HYPERLINK(G97,"Abrir foto"))</x:f>
      </x:c>
      <x:c r="I97" s="28" t="str">
        <x:f>IF(G97="","Sem foto",IF(OR(ISNUMBER(SEARCH("logo",G97)),ISNUMBER(SEARCH("sprite",G97)),ISNUMBER(SEARCH("aliexpress",G97))),"Revisar foto","OK"))</x:f>
        <x:v>Sem foto</x:v>
      </x:c>
      <x:c r="J97" s="28"/>
      <x:c r="K97" s="30"/>
      <x:c r="L97" s="30"/>
      <x:c r="M97" s="30" t="str">
        <x:f>IF(K97="","",K97+IF(L97="",0,L97))</x:f>
      </x:c>
      <x:c r="N97" s="30"/>
      <x:c r="O97" s="30" t="str">
        <x:f>IF(OR(N97="",M97=""),"",N97-M97)</x:f>
      </x:c>
      <x:c r="P97" s="29" t="str">
        <x:f>IF(OR(N97="",O97=""),"",O97/N97)</x:f>
      </x:c>
      <x:c r="Q97" s="28"/>
      <x:c r="R97" s="28"/>
      <x:c r="S97" s="28"/>
      <x:c r="T97" s="28"/>
      <x:c r="U97" s="28"/>
      <x:c r="V97" s="32"/>
      <x:c r="W97" s="28" t="str">
        <x:f>IF(OR(ISNUMBER(SEARCH("aliexpress",D97)),ISNUMBER(SEARCH("aliexpress",X97))),"Revisar mencao","OK")</x:f>
        <x:v>OK</x:v>
      </x:c>
      <x:c r="X97" s="28"/>
    </x:row>
    <x:row r="98">
      <x:c r="A98" s="28"/>
      <x:c r="B98" s="28"/>
      <x:c r="C98" s="28"/>
      <x:c r="D98" s="28"/>
      <x:c r="E98" s="28" t="str">
        <x:f>IF(D98="","",TRIM(SUBSTITUTE(SUBSTITUTE(SUBSTITUTE(SUBSTITUTE(D98,"AliExpress",""),"aliexpress",""),"ALIEXPRESS",""),"Choice","")))</x:f>
      </x:c>
      <x:c r="F98" s="28"/>
      <x:c r="G98" s="28"/>
      <x:c r="H98" s="28" t="str">
        <x:f>IF(G98="","",HYPERLINK(G98,"Abrir foto"))</x:f>
      </x:c>
      <x:c r="I98" s="28" t="str">
        <x:f>IF(G98="","Sem foto",IF(OR(ISNUMBER(SEARCH("logo",G98)),ISNUMBER(SEARCH("sprite",G98)),ISNUMBER(SEARCH("aliexpress",G98))),"Revisar foto","OK"))</x:f>
        <x:v>Sem foto</x:v>
      </x:c>
      <x:c r="J98" s="28"/>
      <x:c r="K98" s="30"/>
      <x:c r="L98" s="30"/>
      <x:c r="M98" s="30" t="str">
        <x:f>IF(K98="","",K98+IF(L98="",0,L98))</x:f>
      </x:c>
      <x:c r="N98" s="30"/>
      <x:c r="O98" s="30" t="str">
        <x:f>IF(OR(N98="",M98=""),"",N98-M98)</x:f>
      </x:c>
      <x:c r="P98" s="29" t="str">
        <x:f>IF(OR(N98="",O98=""),"",O98/N98)</x:f>
      </x:c>
      <x:c r="Q98" s="28"/>
      <x:c r="R98" s="28"/>
      <x:c r="S98" s="28"/>
      <x:c r="T98" s="28"/>
      <x:c r="U98" s="28"/>
      <x:c r="V98" s="32"/>
      <x:c r="W98" s="28" t="str">
        <x:f>IF(OR(ISNUMBER(SEARCH("aliexpress",D98)),ISNUMBER(SEARCH("aliexpress",X98))),"Revisar mencao","OK")</x:f>
        <x:v>OK</x:v>
      </x:c>
      <x:c r="X98" s="28"/>
    </x:row>
    <x:row r="99">
      <x:c r="A99" s="28"/>
      <x:c r="B99" s="28"/>
      <x:c r="C99" s="28"/>
      <x:c r="D99" s="28"/>
      <x:c r="E99" s="28" t="str">
        <x:f>IF(D99="","",TRIM(SUBSTITUTE(SUBSTITUTE(SUBSTITUTE(SUBSTITUTE(D99,"AliExpress",""),"aliexpress",""),"ALIEXPRESS",""),"Choice","")))</x:f>
      </x:c>
      <x:c r="F99" s="28"/>
      <x:c r="G99" s="28"/>
      <x:c r="H99" s="28" t="str">
        <x:f>IF(G99="","",HYPERLINK(G99,"Abrir foto"))</x:f>
      </x:c>
      <x:c r="I99" s="28" t="str">
        <x:f>IF(G99="","Sem foto",IF(OR(ISNUMBER(SEARCH("logo",G99)),ISNUMBER(SEARCH("sprite",G99)),ISNUMBER(SEARCH("aliexpress",G99))),"Revisar foto","OK"))</x:f>
        <x:v>Sem foto</x:v>
      </x:c>
      <x:c r="J99" s="28"/>
      <x:c r="K99" s="30"/>
      <x:c r="L99" s="30"/>
      <x:c r="M99" s="30" t="str">
        <x:f>IF(K99="","",K99+IF(L99="",0,L99))</x:f>
      </x:c>
      <x:c r="N99" s="30"/>
      <x:c r="O99" s="30" t="str">
        <x:f>IF(OR(N99="",M99=""),"",N99-M99)</x:f>
      </x:c>
      <x:c r="P99" s="29" t="str">
        <x:f>IF(OR(N99="",O99=""),"",O99/N99)</x:f>
      </x:c>
      <x:c r="Q99" s="28"/>
      <x:c r="R99" s="28"/>
      <x:c r="S99" s="28"/>
      <x:c r="T99" s="28"/>
      <x:c r="U99" s="28"/>
      <x:c r="V99" s="32"/>
      <x:c r="W99" s="28" t="str">
        <x:f>IF(OR(ISNUMBER(SEARCH("aliexpress",D99)),ISNUMBER(SEARCH("aliexpress",X99))),"Revisar mencao","OK")</x:f>
        <x:v>OK</x:v>
      </x:c>
      <x:c r="X99" s="28"/>
    </x:row>
    <x:row r="100">
      <x:c r="A100" s="28"/>
      <x:c r="B100" s="28"/>
      <x:c r="C100" s="28"/>
      <x:c r="D100" s="28"/>
      <x:c r="E100" s="28" t="str">
        <x:f>IF(D100="","",TRIM(SUBSTITUTE(SUBSTITUTE(SUBSTITUTE(SUBSTITUTE(D100,"AliExpress",""),"aliexpress",""),"ALIEXPRESS",""),"Choice","")))</x:f>
      </x:c>
      <x:c r="F100" s="28"/>
      <x:c r="G100" s="28"/>
      <x:c r="H100" s="28" t="str">
        <x:f>IF(G100="","",HYPERLINK(G100,"Abrir foto"))</x:f>
      </x:c>
      <x:c r="I100" s="28" t="str">
        <x:f>IF(G100="","Sem foto",IF(OR(ISNUMBER(SEARCH("logo",G100)),ISNUMBER(SEARCH("sprite",G100)),ISNUMBER(SEARCH("aliexpress",G100))),"Revisar foto","OK"))</x:f>
        <x:v>Sem foto</x:v>
      </x:c>
      <x:c r="J100" s="28"/>
      <x:c r="K100" s="30"/>
      <x:c r="L100" s="30"/>
      <x:c r="M100" s="30" t="str">
        <x:f>IF(K100="","",K100+IF(L100="",0,L100))</x:f>
      </x:c>
      <x:c r="N100" s="30"/>
      <x:c r="O100" s="30" t="str">
        <x:f>IF(OR(N100="",M100=""),"",N100-M100)</x:f>
      </x:c>
      <x:c r="P100" s="29" t="str">
        <x:f>IF(OR(N100="",O100=""),"",O100/N100)</x:f>
      </x:c>
      <x:c r="Q100" s="28"/>
      <x:c r="R100" s="28"/>
      <x:c r="S100" s="28"/>
      <x:c r="T100" s="28"/>
      <x:c r="U100" s="28"/>
      <x:c r="V100" s="32"/>
      <x:c r="W100" s="28" t="str">
        <x:f>IF(OR(ISNUMBER(SEARCH("aliexpress",D100)),ISNUMBER(SEARCH("aliexpress",X100))),"Revisar mencao","OK")</x:f>
        <x:v>OK</x:v>
      </x:c>
      <x:c r="X100" s="28"/>
    </x:row>
    <x:row r="101">
      <x:c r="A101" s="28"/>
      <x:c r="B101" s="28"/>
      <x:c r="C101" s="28"/>
      <x:c r="D101" s="28"/>
      <x:c r="E101" s="28" t="str">
        <x:f>IF(D101="","",TRIM(SUBSTITUTE(SUBSTITUTE(SUBSTITUTE(SUBSTITUTE(D101,"AliExpress",""),"aliexpress",""),"ALIEXPRESS",""),"Choice","")))</x:f>
      </x:c>
      <x:c r="F101" s="28"/>
      <x:c r="G101" s="28"/>
      <x:c r="H101" s="28" t="str">
        <x:f>IF(G101="","",HYPERLINK(G101,"Abrir foto"))</x:f>
      </x:c>
      <x:c r="I101" s="28" t="str">
        <x:f>IF(G101="","Sem foto",IF(OR(ISNUMBER(SEARCH("logo",G101)),ISNUMBER(SEARCH("sprite",G101)),ISNUMBER(SEARCH("aliexpress",G101))),"Revisar foto","OK"))</x:f>
        <x:v>Sem foto</x:v>
      </x:c>
      <x:c r="J101" s="28"/>
      <x:c r="K101" s="30"/>
      <x:c r="L101" s="30"/>
      <x:c r="M101" s="30" t="str">
        <x:f>IF(K101="","",K101+IF(L101="",0,L101))</x:f>
      </x:c>
      <x:c r="N101" s="30"/>
      <x:c r="O101" s="30" t="str">
        <x:f>IF(OR(N101="",M101=""),"",N101-M101)</x:f>
      </x:c>
      <x:c r="P101" s="29" t="str">
        <x:f>IF(OR(N101="",O101=""),"",O101/N101)</x:f>
      </x:c>
      <x:c r="Q101" s="28"/>
      <x:c r="R101" s="28"/>
      <x:c r="S101" s="28"/>
      <x:c r="T101" s="28"/>
      <x:c r="U101" s="28"/>
      <x:c r="V101" s="32"/>
      <x:c r="W101" s="28" t="str">
        <x:f>IF(OR(ISNUMBER(SEARCH("aliexpress",D101)),ISNUMBER(SEARCH("aliexpress",X101))),"Revisar mencao","OK")</x:f>
        <x:v>OK</x:v>
      </x:c>
      <x:c r="X101" s="28"/>
    </x:row>
    <x:row r="102">
      <x:c r="A102" s="28"/>
      <x:c r="B102" s="28"/>
      <x:c r="C102" s="28"/>
      <x:c r="D102" s="28"/>
      <x:c r="E102" s="28" t="str">
        <x:f>IF(D102="","",TRIM(SUBSTITUTE(SUBSTITUTE(SUBSTITUTE(SUBSTITUTE(D102,"AliExpress",""),"aliexpress",""),"ALIEXPRESS",""),"Choice","")))</x:f>
      </x:c>
      <x:c r="F102" s="28"/>
      <x:c r="G102" s="28"/>
      <x:c r="H102" s="28" t="str">
        <x:f>IF(G102="","",HYPERLINK(G102,"Abrir foto"))</x:f>
      </x:c>
      <x:c r="I102" s="28" t="str">
        <x:f>IF(G102="","Sem foto",IF(OR(ISNUMBER(SEARCH("logo",G102)),ISNUMBER(SEARCH("sprite",G102)),ISNUMBER(SEARCH("aliexpress",G102))),"Revisar foto","OK"))</x:f>
        <x:v>Sem foto</x:v>
      </x:c>
      <x:c r="J102" s="28"/>
      <x:c r="K102" s="30"/>
      <x:c r="L102" s="30"/>
      <x:c r="M102" s="30" t="str">
        <x:f>IF(K102="","",K102+IF(L102="",0,L102))</x:f>
      </x:c>
      <x:c r="N102" s="30"/>
      <x:c r="O102" s="30" t="str">
        <x:f>IF(OR(N102="",M102=""),"",N102-M102)</x:f>
      </x:c>
      <x:c r="P102" s="29" t="str">
        <x:f>IF(OR(N102="",O102=""),"",O102/N102)</x:f>
      </x:c>
      <x:c r="Q102" s="28"/>
      <x:c r="R102" s="28"/>
      <x:c r="S102" s="28"/>
      <x:c r="T102" s="28"/>
      <x:c r="U102" s="28"/>
      <x:c r="V102" s="32"/>
      <x:c r="W102" s="28" t="str">
        <x:f>IF(OR(ISNUMBER(SEARCH("aliexpress",D102)),ISNUMBER(SEARCH("aliexpress",X102))),"Revisar mencao","OK")</x:f>
        <x:v>OK</x:v>
      </x:c>
      <x:c r="X102" s="28"/>
    </x:row>
    <x:row r="103">
      <x:c r="A103" s="28"/>
      <x:c r="B103" s="28"/>
      <x:c r="C103" s="28"/>
      <x:c r="D103" s="28"/>
      <x:c r="E103" s="28" t="str">
        <x:f>IF(D103="","",TRIM(SUBSTITUTE(SUBSTITUTE(SUBSTITUTE(SUBSTITUTE(D103,"AliExpress",""),"aliexpress",""),"ALIEXPRESS",""),"Choice","")))</x:f>
      </x:c>
      <x:c r="F103" s="28"/>
      <x:c r="G103" s="28"/>
      <x:c r="H103" s="28" t="str">
        <x:f>IF(G103="","",HYPERLINK(G103,"Abrir foto"))</x:f>
      </x:c>
      <x:c r="I103" s="28" t="str">
        <x:f>IF(G103="","Sem foto",IF(OR(ISNUMBER(SEARCH("logo",G103)),ISNUMBER(SEARCH("sprite",G103)),ISNUMBER(SEARCH("aliexpress",G103))),"Revisar foto","OK"))</x:f>
        <x:v>Sem foto</x:v>
      </x:c>
      <x:c r="J103" s="28"/>
      <x:c r="K103" s="30"/>
      <x:c r="L103" s="30"/>
      <x:c r="M103" s="30" t="str">
        <x:f>IF(K103="","",K103+IF(L103="",0,L103))</x:f>
      </x:c>
      <x:c r="N103" s="30"/>
      <x:c r="O103" s="30" t="str">
        <x:f>IF(OR(N103="",M103=""),"",N103-M103)</x:f>
      </x:c>
      <x:c r="P103" s="29" t="str">
        <x:f>IF(OR(N103="",O103=""),"",O103/N103)</x:f>
      </x:c>
      <x:c r="Q103" s="28"/>
      <x:c r="R103" s="28"/>
      <x:c r="S103" s="28"/>
      <x:c r="T103" s="28"/>
      <x:c r="U103" s="28"/>
      <x:c r="V103" s="32"/>
      <x:c r="W103" s="28" t="str">
        <x:f>IF(OR(ISNUMBER(SEARCH("aliexpress",D103)),ISNUMBER(SEARCH("aliexpress",X103))),"Revisar mencao","OK")</x:f>
        <x:v>OK</x:v>
      </x:c>
      <x:c r="X103" s="28"/>
    </x:row>
    <x:row r="104">
      <x:c r="A104" s="28"/>
      <x:c r="B104" s="28"/>
      <x:c r="C104" s="28"/>
      <x:c r="D104" s="28"/>
      <x:c r="E104" s="28" t="str">
        <x:f>IF(D104="","",TRIM(SUBSTITUTE(SUBSTITUTE(SUBSTITUTE(SUBSTITUTE(D104,"AliExpress",""),"aliexpress",""),"ALIEXPRESS",""),"Choice","")))</x:f>
      </x:c>
      <x:c r="F104" s="28"/>
      <x:c r="G104" s="28"/>
      <x:c r="H104" s="28" t="str">
        <x:f>IF(G104="","",HYPERLINK(G104,"Abrir foto"))</x:f>
      </x:c>
      <x:c r="I104" s="28" t="str">
        <x:f>IF(G104="","Sem foto",IF(OR(ISNUMBER(SEARCH("logo",G104)),ISNUMBER(SEARCH("sprite",G104)),ISNUMBER(SEARCH("aliexpress",G104))),"Revisar foto","OK"))</x:f>
        <x:v>Sem foto</x:v>
      </x:c>
      <x:c r="J104" s="28"/>
      <x:c r="K104" s="30"/>
      <x:c r="L104" s="30"/>
      <x:c r="M104" s="30" t="str">
        <x:f>IF(K104="","",K104+IF(L104="",0,L104))</x:f>
      </x:c>
      <x:c r="N104" s="30"/>
      <x:c r="O104" s="30" t="str">
        <x:f>IF(OR(N104="",M104=""),"",N104-M104)</x:f>
      </x:c>
      <x:c r="P104" s="29" t="str">
        <x:f>IF(OR(N104="",O104=""),"",O104/N104)</x:f>
      </x:c>
      <x:c r="Q104" s="28"/>
      <x:c r="R104" s="28"/>
      <x:c r="S104" s="28"/>
      <x:c r="T104" s="28"/>
      <x:c r="U104" s="28"/>
      <x:c r="V104" s="32"/>
      <x:c r="W104" s="28" t="str">
        <x:f>IF(OR(ISNUMBER(SEARCH("aliexpress",D104)),ISNUMBER(SEARCH("aliexpress",X104))),"Revisar mencao","OK")</x:f>
        <x:v>OK</x:v>
      </x:c>
      <x:c r="X104" s="28"/>
    </x:row>
    <x:row r="105">
      <x:c r="A105" s="28"/>
      <x:c r="B105" s="28"/>
      <x:c r="C105" s="28"/>
      <x:c r="D105" s="28"/>
      <x:c r="E105" s="28" t="str">
        <x:f>IF(D105="","",TRIM(SUBSTITUTE(SUBSTITUTE(SUBSTITUTE(SUBSTITUTE(D105,"AliExpress",""),"aliexpress",""),"ALIEXPRESS",""),"Choice","")))</x:f>
      </x:c>
      <x:c r="F105" s="28"/>
      <x:c r="G105" s="28"/>
      <x:c r="H105" s="28" t="str">
        <x:f>IF(G105="","",HYPERLINK(G105,"Abrir foto"))</x:f>
      </x:c>
      <x:c r="I105" s="28" t="str">
        <x:f>IF(G105="","Sem foto",IF(OR(ISNUMBER(SEARCH("logo",G105)),ISNUMBER(SEARCH("sprite",G105)),ISNUMBER(SEARCH("aliexpress",G105))),"Revisar foto","OK"))</x:f>
        <x:v>Sem foto</x:v>
      </x:c>
      <x:c r="J105" s="28"/>
      <x:c r="K105" s="30"/>
      <x:c r="L105" s="30"/>
      <x:c r="M105" s="30" t="str">
        <x:f>IF(K105="","",K105+IF(L105="",0,L105))</x:f>
      </x:c>
      <x:c r="N105" s="30"/>
      <x:c r="O105" s="30" t="str">
        <x:f>IF(OR(N105="",M105=""),"",N105-M105)</x:f>
      </x:c>
      <x:c r="P105" s="29" t="str">
        <x:f>IF(OR(N105="",O105=""),"",O105/N105)</x:f>
      </x:c>
      <x:c r="Q105" s="28"/>
      <x:c r="R105" s="28"/>
      <x:c r="S105" s="28"/>
      <x:c r="T105" s="28"/>
      <x:c r="U105" s="28"/>
      <x:c r="V105" s="32"/>
      <x:c r="W105" s="28" t="str">
        <x:f>IF(OR(ISNUMBER(SEARCH("aliexpress",D105)),ISNUMBER(SEARCH("aliexpress",X105))),"Revisar mencao","OK")</x:f>
        <x:v>OK</x:v>
      </x:c>
      <x:c r="X105" s="28"/>
    </x:row>
    <x:row r="106">
      <x:c r="A106" s="28"/>
      <x:c r="B106" s="28"/>
      <x:c r="C106" s="28"/>
      <x:c r="D106" s="28"/>
      <x:c r="E106" s="28" t="str">
        <x:f>IF(D106="","",TRIM(SUBSTITUTE(SUBSTITUTE(SUBSTITUTE(SUBSTITUTE(D106,"AliExpress",""),"aliexpress",""),"ALIEXPRESS",""),"Choice","")))</x:f>
      </x:c>
      <x:c r="F106" s="28"/>
      <x:c r="G106" s="28"/>
      <x:c r="H106" s="28" t="str">
        <x:f>IF(G106="","",HYPERLINK(G106,"Abrir foto"))</x:f>
      </x:c>
      <x:c r="I106" s="28" t="str">
        <x:f>IF(G106="","Sem foto",IF(OR(ISNUMBER(SEARCH("logo",G106)),ISNUMBER(SEARCH("sprite",G106)),ISNUMBER(SEARCH("aliexpress",G106))),"Revisar foto","OK"))</x:f>
        <x:v>Sem foto</x:v>
      </x:c>
      <x:c r="J106" s="28"/>
      <x:c r="K106" s="30"/>
      <x:c r="L106" s="30"/>
      <x:c r="M106" s="30" t="str">
        <x:f>IF(K106="","",K106+IF(L106="",0,L106))</x:f>
      </x:c>
      <x:c r="N106" s="30"/>
      <x:c r="O106" s="30" t="str">
        <x:f>IF(OR(N106="",M106=""),"",N106-M106)</x:f>
      </x:c>
      <x:c r="P106" s="29" t="str">
        <x:f>IF(OR(N106="",O106=""),"",O106/N106)</x:f>
      </x:c>
      <x:c r="Q106" s="28"/>
      <x:c r="R106" s="28"/>
      <x:c r="S106" s="28"/>
      <x:c r="T106" s="28"/>
      <x:c r="U106" s="28"/>
      <x:c r="V106" s="32"/>
      <x:c r="W106" s="28" t="str">
        <x:f>IF(OR(ISNUMBER(SEARCH("aliexpress",D106)),ISNUMBER(SEARCH("aliexpress",X106))),"Revisar mencao","OK")</x:f>
        <x:v>OK</x:v>
      </x:c>
      <x:c r="X106" s="28"/>
    </x:row>
    <x:row r="107">
      <x:c r="A107" s="28"/>
      <x:c r="B107" s="28"/>
      <x:c r="C107" s="28"/>
      <x:c r="D107" s="28"/>
      <x:c r="E107" s="28" t="str">
        <x:f>IF(D107="","",TRIM(SUBSTITUTE(SUBSTITUTE(SUBSTITUTE(SUBSTITUTE(D107,"AliExpress",""),"aliexpress",""),"ALIEXPRESS",""),"Choice","")))</x:f>
      </x:c>
      <x:c r="F107" s="28"/>
      <x:c r="G107" s="28"/>
      <x:c r="H107" s="28" t="str">
        <x:f>IF(G107="","",HYPERLINK(G107,"Abrir foto"))</x:f>
      </x:c>
      <x:c r="I107" s="28" t="str">
        <x:f>IF(G107="","Sem foto",IF(OR(ISNUMBER(SEARCH("logo",G107)),ISNUMBER(SEARCH("sprite",G107)),ISNUMBER(SEARCH("aliexpress",G107))),"Revisar foto","OK"))</x:f>
        <x:v>Sem foto</x:v>
      </x:c>
      <x:c r="J107" s="28"/>
      <x:c r="K107" s="30"/>
      <x:c r="L107" s="30"/>
      <x:c r="M107" s="30" t="str">
        <x:f>IF(K107="","",K107+IF(L107="",0,L107))</x:f>
      </x:c>
      <x:c r="N107" s="30"/>
      <x:c r="O107" s="30" t="str">
        <x:f>IF(OR(N107="",M107=""),"",N107-M107)</x:f>
      </x:c>
      <x:c r="P107" s="29" t="str">
        <x:f>IF(OR(N107="",O107=""),"",O107/N107)</x:f>
      </x:c>
      <x:c r="Q107" s="28"/>
      <x:c r="R107" s="28"/>
      <x:c r="S107" s="28"/>
      <x:c r="T107" s="28"/>
      <x:c r="U107" s="28"/>
      <x:c r="V107" s="32"/>
      <x:c r="W107" s="28" t="str">
        <x:f>IF(OR(ISNUMBER(SEARCH("aliexpress",D107)),ISNUMBER(SEARCH("aliexpress",X107))),"Revisar mencao","OK")</x:f>
        <x:v>OK</x:v>
      </x:c>
      <x:c r="X107" s="28"/>
    </x:row>
    <x:row r="108">
      <x:c r="A108" s="28"/>
      <x:c r="B108" s="28"/>
      <x:c r="C108" s="28"/>
      <x:c r="D108" s="28"/>
      <x:c r="E108" s="28" t="str">
        <x:f>IF(D108="","",TRIM(SUBSTITUTE(SUBSTITUTE(SUBSTITUTE(SUBSTITUTE(D108,"AliExpress",""),"aliexpress",""),"ALIEXPRESS",""),"Choice","")))</x:f>
      </x:c>
      <x:c r="F108" s="28"/>
      <x:c r="G108" s="28"/>
      <x:c r="H108" s="28" t="str">
        <x:f>IF(G108="","",HYPERLINK(G108,"Abrir foto"))</x:f>
      </x:c>
      <x:c r="I108" s="28" t="str">
        <x:f>IF(G108="","Sem foto",IF(OR(ISNUMBER(SEARCH("logo",G108)),ISNUMBER(SEARCH("sprite",G108)),ISNUMBER(SEARCH("aliexpress",G108))),"Revisar foto","OK"))</x:f>
        <x:v>Sem foto</x:v>
      </x:c>
      <x:c r="J108" s="28"/>
      <x:c r="K108" s="30"/>
      <x:c r="L108" s="30"/>
      <x:c r="M108" s="30" t="str">
        <x:f>IF(K108="","",K108+IF(L108="",0,L108))</x:f>
      </x:c>
      <x:c r="N108" s="30"/>
      <x:c r="O108" s="30" t="str">
        <x:f>IF(OR(N108="",M108=""),"",N108-M108)</x:f>
      </x:c>
      <x:c r="P108" s="29" t="str">
        <x:f>IF(OR(N108="",O108=""),"",O108/N108)</x:f>
      </x:c>
      <x:c r="Q108" s="28"/>
      <x:c r="R108" s="28"/>
      <x:c r="S108" s="28"/>
      <x:c r="T108" s="28"/>
      <x:c r="U108" s="28"/>
      <x:c r="V108" s="32"/>
      <x:c r="W108" s="28" t="str">
        <x:f>IF(OR(ISNUMBER(SEARCH("aliexpress",D108)),ISNUMBER(SEARCH("aliexpress",X108))),"Revisar mencao","OK")</x:f>
        <x:v>OK</x:v>
      </x:c>
      <x:c r="X108" s="28"/>
    </x:row>
    <x:row r="109">
      <x:c r="A109" s="28"/>
      <x:c r="B109" s="28"/>
      <x:c r="C109" s="28"/>
      <x:c r="D109" s="28"/>
      <x:c r="E109" s="28" t="str">
        <x:f>IF(D109="","",TRIM(SUBSTITUTE(SUBSTITUTE(SUBSTITUTE(SUBSTITUTE(D109,"AliExpress",""),"aliexpress",""),"ALIEXPRESS",""),"Choice","")))</x:f>
      </x:c>
      <x:c r="F109" s="28"/>
      <x:c r="G109" s="28"/>
      <x:c r="H109" s="28" t="str">
        <x:f>IF(G109="","",HYPERLINK(G109,"Abrir foto"))</x:f>
      </x:c>
      <x:c r="I109" s="28" t="str">
        <x:f>IF(G109="","Sem foto",IF(OR(ISNUMBER(SEARCH("logo",G109)),ISNUMBER(SEARCH("sprite",G109)),ISNUMBER(SEARCH("aliexpress",G109))),"Revisar foto","OK"))</x:f>
        <x:v>Sem foto</x:v>
      </x:c>
      <x:c r="J109" s="28"/>
      <x:c r="K109" s="30"/>
      <x:c r="L109" s="30"/>
      <x:c r="M109" s="30" t="str">
        <x:f>IF(K109="","",K109+IF(L109="",0,L109))</x:f>
      </x:c>
      <x:c r="N109" s="30"/>
      <x:c r="O109" s="30" t="str">
        <x:f>IF(OR(N109="",M109=""),"",N109-M109)</x:f>
      </x:c>
      <x:c r="P109" s="29" t="str">
        <x:f>IF(OR(N109="",O109=""),"",O109/N109)</x:f>
      </x:c>
      <x:c r="Q109" s="28"/>
      <x:c r="R109" s="28"/>
      <x:c r="S109" s="28"/>
      <x:c r="T109" s="28"/>
      <x:c r="U109" s="28"/>
      <x:c r="V109" s="32"/>
      <x:c r="W109" s="28" t="str">
        <x:f>IF(OR(ISNUMBER(SEARCH("aliexpress",D109)),ISNUMBER(SEARCH("aliexpress",X109))),"Revisar mencao","OK")</x:f>
        <x:v>OK</x:v>
      </x:c>
      <x:c r="X109" s="28"/>
    </x:row>
    <x:row r="110">
      <x:c r="A110" s="28"/>
      <x:c r="B110" s="28"/>
      <x:c r="C110" s="28"/>
      <x:c r="D110" s="28"/>
      <x:c r="E110" s="28" t="str">
        <x:f>IF(D110="","",TRIM(SUBSTITUTE(SUBSTITUTE(SUBSTITUTE(SUBSTITUTE(D110,"AliExpress",""),"aliexpress",""),"ALIEXPRESS",""),"Choice","")))</x:f>
      </x:c>
      <x:c r="F110" s="28"/>
      <x:c r="G110" s="28"/>
      <x:c r="H110" s="28" t="str">
        <x:f>IF(G110="","",HYPERLINK(G110,"Abrir foto"))</x:f>
      </x:c>
      <x:c r="I110" s="28" t="str">
        <x:f>IF(G110="","Sem foto",IF(OR(ISNUMBER(SEARCH("logo",G110)),ISNUMBER(SEARCH("sprite",G110)),ISNUMBER(SEARCH("aliexpress",G110))),"Revisar foto","OK"))</x:f>
        <x:v>Sem foto</x:v>
      </x:c>
      <x:c r="J110" s="28"/>
      <x:c r="K110" s="30"/>
      <x:c r="L110" s="30"/>
      <x:c r="M110" s="30" t="str">
        <x:f>IF(K110="","",K110+IF(L110="",0,L110))</x:f>
      </x:c>
      <x:c r="N110" s="30"/>
      <x:c r="O110" s="30" t="str">
        <x:f>IF(OR(N110="",M110=""),"",N110-M110)</x:f>
      </x:c>
      <x:c r="P110" s="29" t="str">
        <x:f>IF(OR(N110="",O110=""),"",O110/N110)</x:f>
      </x:c>
      <x:c r="Q110" s="28"/>
      <x:c r="R110" s="28"/>
      <x:c r="S110" s="28"/>
      <x:c r="T110" s="28"/>
      <x:c r="U110" s="28"/>
      <x:c r="V110" s="32"/>
      <x:c r="W110" s="28" t="str">
        <x:f>IF(OR(ISNUMBER(SEARCH("aliexpress",D110)),ISNUMBER(SEARCH("aliexpress",X110))),"Revisar mencao","OK")</x:f>
        <x:v>OK</x:v>
      </x:c>
      <x:c r="X110" s="28"/>
    </x:row>
    <x:row r="111">
      <x:c r="A111" s="28"/>
      <x:c r="B111" s="28"/>
      <x:c r="C111" s="28"/>
      <x:c r="D111" s="28"/>
      <x:c r="E111" s="28" t="str">
        <x:f>IF(D111="","",TRIM(SUBSTITUTE(SUBSTITUTE(SUBSTITUTE(SUBSTITUTE(D111,"AliExpress",""),"aliexpress",""),"ALIEXPRESS",""),"Choice","")))</x:f>
      </x:c>
      <x:c r="F111" s="28"/>
      <x:c r="G111" s="28"/>
      <x:c r="H111" s="28" t="str">
        <x:f>IF(G111="","",HYPERLINK(G111,"Abrir foto"))</x:f>
      </x:c>
      <x:c r="I111" s="28" t="str">
        <x:f>IF(G111="","Sem foto",IF(OR(ISNUMBER(SEARCH("logo",G111)),ISNUMBER(SEARCH("sprite",G111)),ISNUMBER(SEARCH("aliexpress",G111))),"Revisar foto","OK"))</x:f>
        <x:v>Sem foto</x:v>
      </x:c>
      <x:c r="J111" s="28"/>
      <x:c r="K111" s="30"/>
      <x:c r="L111" s="30"/>
      <x:c r="M111" s="30" t="str">
        <x:f>IF(K111="","",K111+IF(L111="",0,L111))</x:f>
      </x:c>
      <x:c r="N111" s="30"/>
      <x:c r="O111" s="30" t="str">
        <x:f>IF(OR(N111="",M111=""),"",N111-M111)</x:f>
      </x:c>
      <x:c r="P111" s="29" t="str">
        <x:f>IF(OR(N111="",O111=""),"",O111/N111)</x:f>
      </x:c>
      <x:c r="Q111" s="28"/>
      <x:c r="R111" s="28"/>
      <x:c r="S111" s="28"/>
      <x:c r="T111" s="28"/>
      <x:c r="U111" s="28"/>
      <x:c r="V111" s="32"/>
      <x:c r="W111" s="28" t="str">
        <x:f>IF(OR(ISNUMBER(SEARCH("aliexpress",D111)),ISNUMBER(SEARCH("aliexpress",X111))),"Revisar mencao","OK")</x:f>
        <x:v>OK</x:v>
      </x:c>
      <x:c r="X111" s="28"/>
    </x:row>
    <x:row r="112">
      <x:c r="A112" s="28"/>
      <x:c r="B112" s="28"/>
      <x:c r="C112" s="28"/>
      <x:c r="D112" s="28"/>
      <x:c r="E112" s="28" t="str">
        <x:f>IF(D112="","",TRIM(SUBSTITUTE(SUBSTITUTE(SUBSTITUTE(SUBSTITUTE(D112,"AliExpress",""),"aliexpress",""),"ALIEXPRESS",""),"Choice","")))</x:f>
      </x:c>
      <x:c r="F112" s="28"/>
      <x:c r="G112" s="28"/>
      <x:c r="H112" s="28" t="str">
        <x:f>IF(G112="","",HYPERLINK(G112,"Abrir foto"))</x:f>
      </x:c>
      <x:c r="I112" s="28" t="str">
        <x:f>IF(G112="","Sem foto",IF(OR(ISNUMBER(SEARCH("logo",G112)),ISNUMBER(SEARCH("sprite",G112)),ISNUMBER(SEARCH("aliexpress",G112))),"Revisar foto","OK"))</x:f>
        <x:v>Sem foto</x:v>
      </x:c>
      <x:c r="J112" s="28"/>
      <x:c r="K112" s="30"/>
      <x:c r="L112" s="30"/>
      <x:c r="M112" s="30" t="str">
        <x:f>IF(K112="","",K112+IF(L112="",0,L112))</x:f>
      </x:c>
      <x:c r="N112" s="30"/>
      <x:c r="O112" s="30" t="str">
        <x:f>IF(OR(N112="",M112=""),"",N112-M112)</x:f>
      </x:c>
      <x:c r="P112" s="29" t="str">
        <x:f>IF(OR(N112="",O112=""),"",O112/N112)</x:f>
      </x:c>
      <x:c r="Q112" s="28"/>
      <x:c r="R112" s="28"/>
      <x:c r="S112" s="28"/>
      <x:c r="T112" s="28"/>
      <x:c r="U112" s="28"/>
      <x:c r="V112" s="32"/>
      <x:c r="W112" s="28" t="str">
        <x:f>IF(OR(ISNUMBER(SEARCH("aliexpress",D112)),ISNUMBER(SEARCH("aliexpress",X112))),"Revisar mencao","OK")</x:f>
        <x:v>OK</x:v>
      </x:c>
      <x:c r="X112" s="28"/>
    </x:row>
    <x:row r="113">
      <x:c r="A113" s="28"/>
      <x:c r="B113" s="28"/>
      <x:c r="C113" s="28"/>
      <x:c r="D113" s="28"/>
      <x:c r="E113" s="28" t="str">
        <x:f>IF(D113="","",TRIM(SUBSTITUTE(SUBSTITUTE(SUBSTITUTE(SUBSTITUTE(D113,"AliExpress",""),"aliexpress",""),"ALIEXPRESS",""),"Choice","")))</x:f>
      </x:c>
      <x:c r="F113" s="28"/>
      <x:c r="G113" s="28"/>
      <x:c r="H113" s="28" t="str">
        <x:f>IF(G113="","",HYPERLINK(G113,"Abrir foto"))</x:f>
      </x:c>
      <x:c r="I113" s="28" t="str">
        <x:f>IF(G113="","Sem foto",IF(OR(ISNUMBER(SEARCH("logo",G113)),ISNUMBER(SEARCH("sprite",G113)),ISNUMBER(SEARCH("aliexpress",G113))),"Revisar foto","OK"))</x:f>
        <x:v>Sem foto</x:v>
      </x:c>
      <x:c r="J113" s="28"/>
      <x:c r="K113" s="30"/>
      <x:c r="L113" s="30"/>
      <x:c r="M113" s="30" t="str">
        <x:f>IF(K113="","",K113+IF(L113="",0,L113))</x:f>
      </x:c>
      <x:c r="N113" s="30"/>
      <x:c r="O113" s="30" t="str">
        <x:f>IF(OR(N113="",M113=""),"",N113-M113)</x:f>
      </x:c>
      <x:c r="P113" s="29" t="str">
        <x:f>IF(OR(N113="",O113=""),"",O113/N113)</x:f>
      </x:c>
      <x:c r="Q113" s="28"/>
      <x:c r="R113" s="28"/>
      <x:c r="S113" s="28"/>
      <x:c r="T113" s="28"/>
      <x:c r="U113" s="28"/>
      <x:c r="V113" s="32"/>
      <x:c r="W113" s="28" t="str">
        <x:f>IF(OR(ISNUMBER(SEARCH("aliexpress",D113)),ISNUMBER(SEARCH("aliexpress",X113))),"Revisar mencao","OK")</x:f>
        <x:v>OK</x:v>
      </x:c>
      <x:c r="X113" s="28"/>
    </x:row>
    <x:row r="114">
      <x:c r="A114" s="28"/>
      <x:c r="B114" s="28"/>
      <x:c r="C114" s="28"/>
      <x:c r="D114" s="28"/>
      <x:c r="E114" s="28" t="str">
        <x:f>IF(D114="","",TRIM(SUBSTITUTE(SUBSTITUTE(SUBSTITUTE(SUBSTITUTE(D114,"AliExpress",""),"aliexpress",""),"ALIEXPRESS",""),"Choice","")))</x:f>
      </x:c>
      <x:c r="F114" s="28"/>
      <x:c r="G114" s="28"/>
      <x:c r="H114" s="28" t="str">
        <x:f>IF(G114="","",HYPERLINK(G114,"Abrir foto"))</x:f>
      </x:c>
      <x:c r="I114" s="28" t="str">
        <x:f>IF(G114="","Sem foto",IF(OR(ISNUMBER(SEARCH("logo",G114)),ISNUMBER(SEARCH("sprite",G114)),ISNUMBER(SEARCH("aliexpress",G114))),"Revisar foto","OK"))</x:f>
        <x:v>Sem foto</x:v>
      </x:c>
      <x:c r="J114" s="28"/>
      <x:c r="K114" s="30"/>
      <x:c r="L114" s="30"/>
      <x:c r="M114" s="30" t="str">
        <x:f>IF(K114="","",K114+IF(L114="",0,L114))</x:f>
      </x:c>
      <x:c r="N114" s="30"/>
      <x:c r="O114" s="30" t="str">
        <x:f>IF(OR(N114="",M114=""),"",N114-M114)</x:f>
      </x:c>
      <x:c r="P114" s="29" t="str">
        <x:f>IF(OR(N114="",O114=""),"",O114/N114)</x:f>
      </x:c>
      <x:c r="Q114" s="28"/>
      <x:c r="R114" s="28"/>
      <x:c r="S114" s="28"/>
      <x:c r="T114" s="28"/>
      <x:c r="U114" s="28"/>
      <x:c r="V114" s="32"/>
      <x:c r="W114" s="28" t="str">
        <x:f>IF(OR(ISNUMBER(SEARCH("aliexpress",D114)),ISNUMBER(SEARCH("aliexpress",X114))),"Revisar mencao","OK")</x:f>
        <x:v>OK</x:v>
      </x:c>
      <x:c r="X114" s="28"/>
    </x:row>
    <x:row r="115">
      <x:c r="A115" s="28"/>
      <x:c r="B115" s="28"/>
      <x:c r="C115" s="28"/>
      <x:c r="D115" s="28"/>
      <x:c r="E115" s="28" t="str">
        <x:f>IF(D115="","",TRIM(SUBSTITUTE(SUBSTITUTE(SUBSTITUTE(SUBSTITUTE(D115,"AliExpress",""),"aliexpress",""),"ALIEXPRESS",""),"Choice","")))</x:f>
      </x:c>
      <x:c r="F115" s="28"/>
      <x:c r="G115" s="28"/>
      <x:c r="H115" s="28" t="str">
        <x:f>IF(G115="","",HYPERLINK(G115,"Abrir foto"))</x:f>
      </x:c>
      <x:c r="I115" s="28" t="str">
        <x:f>IF(G115="","Sem foto",IF(OR(ISNUMBER(SEARCH("logo",G115)),ISNUMBER(SEARCH("sprite",G115)),ISNUMBER(SEARCH("aliexpress",G115))),"Revisar foto","OK"))</x:f>
        <x:v>Sem foto</x:v>
      </x:c>
      <x:c r="J115" s="28"/>
      <x:c r="K115" s="30"/>
      <x:c r="L115" s="30"/>
      <x:c r="M115" s="30" t="str">
        <x:f>IF(K115="","",K115+IF(L115="",0,L115))</x:f>
      </x:c>
      <x:c r="N115" s="30"/>
      <x:c r="O115" s="30" t="str">
        <x:f>IF(OR(N115="",M115=""),"",N115-M115)</x:f>
      </x:c>
      <x:c r="P115" s="29" t="str">
        <x:f>IF(OR(N115="",O115=""),"",O115/N115)</x:f>
      </x:c>
      <x:c r="Q115" s="28"/>
      <x:c r="R115" s="28"/>
      <x:c r="S115" s="28"/>
      <x:c r="T115" s="28"/>
      <x:c r="U115" s="28"/>
      <x:c r="V115" s="32"/>
      <x:c r="W115" s="28" t="str">
        <x:f>IF(OR(ISNUMBER(SEARCH("aliexpress",D115)),ISNUMBER(SEARCH("aliexpress",X115))),"Revisar mencao","OK")</x:f>
        <x:v>OK</x:v>
      </x:c>
      <x:c r="X115" s="28"/>
    </x:row>
    <x:row r="116">
      <x:c r="A116" s="28"/>
      <x:c r="B116" s="28"/>
      <x:c r="C116" s="28"/>
      <x:c r="D116" s="28"/>
      <x:c r="E116" s="28" t="str">
        <x:f>IF(D116="","",TRIM(SUBSTITUTE(SUBSTITUTE(SUBSTITUTE(SUBSTITUTE(D116,"AliExpress",""),"aliexpress",""),"ALIEXPRESS",""),"Choice","")))</x:f>
      </x:c>
      <x:c r="F116" s="28"/>
      <x:c r="G116" s="28"/>
      <x:c r="H116" s="28" t="str">
        <x:f>IF(G116="","",HYPERLINK(G116,"Abrir foto"))</x:f>
      </x:c>
      <x:c r="I116" s="28" t="str">
        <x:f>IF(G116="","Sem foto",IF(OR(ISNUMBER(SEARCH("logo",G116)),ISNUMBER(SEARCH("sprite",G116)),ISNUMBER(SEARCH("aliexpress",G116))),"Revisar foto","OK"))</x:f>
        <x:v>Sem foto</x:v>
      </x:c>
      <x:c r="J116" s="28"/>
      <x:c r="K116" s="30"/>
      <x:c r="L116" s="30"/>
      <x:c r="M116" s="30" t="str">
        <x:f>IF(K116="","",K116+IF(L116="",0,L116))</x:f>
      </x:c>
      <x:c r="N116" s="30"/>
      <x:c r="O116" s="30" t="str">
        <x:f>IF(OR(N116="",M116=""),"",N116-M116)</x:f>
      </x:c>
      <x:c r="P116" s="29" t="str">
        <x:f>IF(OR(N116="",O116=""),"",O116/N116)</x:f>
      </x:c>
      <x:c r="Q116" s="28"/>
      <x:c r="R116" s="28"/>
      <x:c r="S116" s="28"/>
      <x:c r="T116" s="28"/>
      <x:c r="U116" s="28"/>
      <x:c r="V116" s="32"/>
      <x:c r="W116" s="28" t="str">
        <x:f>IF(OR(ISNUMBER(SEARCH("aliexpress",D116)),ISNUMBER(SEARCH("aliexpress",X116))),"Revisar mencao","OK")</x:f>
        <x:v>OK</x:v>
      </x:c>
      <x:c r="X116" s="28"/>
    </x:row>
    <x:row r="117">
      <x:c r="A117" s="28"/>
      <x:c r="B117" s="28"/>
      <x:c r="C117" s="28"/>
      <x:c r="D117" s="28"/>
      <x:c r="E117" s="28" t="str">
        <x:f>IF(D117="","",TRIM(SUBSTITUTE(SUBSTITUTE(SUBSTITUTE(SUBSTITUTE(D117,"AliExpress",""),"aliexpress",""),"ALIEXPRESS",""),"Choice","")))</x:f>
      </x:c>
      <x:c r="F117" s="28"/>
      <x:c r="G117" s="28"/>
      <x:c r="H117" s="28" t="str">
        <x:f>IF(G117="","",HYPERLINK(G117,"Abrir foto"))</x:f>
      </x:c>
      <x:c r="I117" s="28" t="str">
        <x:f>IF(G117="","Sem foto",IF(OR(ISNUMBER(SEARCH("logo",G117)),ISNUMBER(SEARCH("sprite",G117)),ISNUMBER(SEARCH("aliexpress",G117))),"Revisar foto","OK"))</x:f>
        <x:v>Sem foto</x:v>
      </x:c>
      <x:c r="J117" s="28"/>
      <x:c r="K117" s="30"/>
      <x:c r="L117" s="30"/>
      <x:c r="M117" s="30" t="str">
        <x:f>IF(K117="","",K117+IF(L117="",0,L117))</x:f>
      </x:c>
      <x:c r="N117" s="30"/>
      <x:c r="O117" s="30" t="str">
        <x:f>IF(OR(N117="",M117=""),"",N117-M117)</x:f>
      </x:c>
      <x:c r="P117" s="29" t="str">
        <x:f>IF(OR(N117="",O117=""),"",O117/N117)</x:f>
      </x:c>
      <x:c r="Q117" s="28"/>
      <x:c r="R117" s="28"/>
      <x:c r="S117" s="28"/>
      <x:c r="T117" s="28"/>
      <x:c r="U117" s="28"/>
      <x:c r="V117" s="32"/>
      <x:c r="W117" s="28" t="str">
        <x:f>IF(OR(ISNUMBER(SEARCH("aliexpress",D117)),ISNUMBER(SEARCH("aliexpress",X117))),"Revisar mencao","OK")</x:f>
        <x:v>OK</x:v>
      </x:c>
      <x:c r="X117" s="28"/>
    </x:row>
    <x:row r="118">
      <x:c r="A118" s="28"/>
      <x:c r="B118" s="28"/>
      <x:c r="C118" s="28"/>
      <x:c r="D118" s="28"/>
      <x:c r="E118" s="28" t="str">
        <x:f>IF(D118="","",TRIM(SUBSTITUTE(SUBSTITUTE(SUBSTITUTE(SUBSTITUTE(D118,"AliExpress",""),"aliexpress",""),"ALIEXPRESS",""),"Choice","")))</x:f>
      </x:c>
      <x:c r="F118" s="28"/>
      <x:c r="G118" s="28"/>
      <x:c r="H118" s="28" t="str">
        <x:f>IF(G118="","",HYPERLINK(G118,"Abrir foto"))</x:f>
      </x:c>
      <x:c r="I118" s="28" t="str">
        <x:f>IF(G118="","Sem foto",IF(OR(ISNUMBER(SEARCH("logo",G118)),ISNUMBER(SEARCH("sprite",G118)),ISNUMBER(SEARCH("aliexpress",G118))),"Revisar foto","OK"))</x:f>
        <x:v>Sem foto</x:v>
      </x:c>
      <x:c r="J118" s="28"/>
      <x:c r="K118" s="30"/>
      <x:c r="L118" s="30"/>
      <x:c r="M118" s="30" t="str">
        <x:f>IF(K118="","",K118+IF(L118="",0,L118))</x:f>
      </x:c>
      <x:c r="N118" s="30"/>
      <x:c r="O118" s="30" t="str">
        <x:f>IF(OR(N118="",M118=""),"",N118-M118)</x:f>
      </x:c>
      <x:c r="P118" s="29" t="str">
        <x:f>IF(OR(N118="",O118=""),"",O118/N118)</x:f>
      </x:c>
      <x:c r="Q118" s="28"/>
      <x:c r="R118" s="28"/>
      <x:c r="S118" s="28"/>
      <x:c r="T118" s="28"/>
      <x:c r="U118" s="28"/>
      <x:c r="V118" s="32"/>
      <x:c r="W118" s="28" t="str">
        <x:f>IF(OR(ISNUMBER(SEARCH("aliexpress",D118)),ISNUMBER(SEARCH("aliexpress",X118))),"Revisar mencao","OK")</x:f>
        <x:v>OK</x:v>
      </x:c>
      <x:c r="X118" s="28"/>
    </x:row>
    <x:row r="119">
      <x:c r="A119" s="28"/>
      <x:c r="B119" s="28"/>
      <x:c r="C119" s="28"/>
      <x:c r="D119" s="28"/>
      <x:c r="E119" s="28" t="str">
        <x:f>IF(D119="","",TRIM(SUBSTITUTE(SUBSTITUTE(SUBSTITUTE(SUBSTITUTE(D119,"AliExpress",""),"aliexpress",""),"ALIEXPRESS",""),"Choice","")))</x:f>
      </x:c>
      <x:c r="F119" s="28"/>
      <x:c r="G119" s="28"/>
      <x:c r="H119" s="28" t="str">
        <x:f>IF(G119="","",HYPERLINK(G119,"Abrir foto"))</x:f>
      </x:c>
      <x:c r="I119" s="28" t="str">
        <x:f>IF(G119="","Sem foto",IF(OR(ISNUMBER(SEARCH("logo",G119)),ISNUMBER(SEARCH("sprite",G119)),ISNUMBER(SEARCH("aliexpress",G119))),"Revisar foto","OK"))</x:f>
        <x:v>Sem foto</x:v>
      </x:c>
      <x:c r="J119" s="28"/>
      <x:c r="K119" s="30"/>
      <x:c r="L119" s="30"/>
      <x:c r="M119" s="30" t="str">
        <x:f>IF(K119="","",K119+IF(L119="",0,L119))</x:f>
      </x:c>
      <x:c r="N119" s="30"/>
      <x:c r="O119" s="30" t="str">
        <x:f>IF(OR(N119="",M119=""),"",N119-M119)</x:f>
      </x:c>
      <x:c r="P119" s="29" t="str">
        <x:f>IF(OR(N119="",O119=""),"",O119/N119)</x:f>
      </x:c>
      <x:c r="Q119" s="28"/>
      <x:c r="R119" s="28"/>
      <x:c r="S119" s="28"/>
      <x:c r="T119" s="28"/>
      <x:c r="U119" s="28"/>
      <x:c r="V119" s="32"/>
      <x:c r="W119" s="28" t="str">
        <x:f>IF(OR(ISNUMBER(SEARCH("aliexpress",D119)),ISNUMBER(SEARCH("aliexpress",X119))),"Revisar mencao","OK")</x:f>
        <x:v>OK</x:v>
      </x:c>
      <x:c r="X119" s="28"/>
    </x:row>
    <x:row r="120">
      <x:c r="A120" s="28"/>
      <x:c r="B120" s="28"/>
      <x:c r="C120" s="28"/>
      <x:c r="D120" s="28"/>
      <x:c r="E120" s="28" t="str">
        <x:f>IF(D120="","",TRIM(SUBSTITUTE(SUBSTITUTE(SUBSTITUTE(SUBSTITUTE(D120,"AliExpress",""),"aliexpress",""),"ALIEXPRESS",""),"Choice","")))</x:f>
      </x:c>
      <x:c r="F120" s="28"/>
      <x:c r="G120" s="28"/>
      <x:c r="H120" s="28" t="str">
        <x:f>IF(G120="","",HYPERLINK(G120,"Abrir foto"))</x:f>
      </x:c>
      <x:c r="I120" s="28" t="str">
        <x:f>IF(G120="","Sem foto",IF(OR(ISNUMBER(SEARCH("logo",G120)),ISNUMBER(SEARCH("sprite",G120)),ISNUMBER(SEARCH("aliexpress",G120))),"Revisar foto","OK"))</x:f>
        <x:v>Sem foto</x:v>
      </x:c>
      <x:c r="J120" s="28"/>
      <x:c r="K120" s="30"/>
      <x:c r="L120" s="30"/>
      <x:c r="M120" s="30" t="str">
        <x:f>IF(K120="","",K120+IF(L120="",0,L120))</x:f>
      </x:c>
      <x:c r="N120" s="30"/>
      <x:c r="O120" s="30" t="str">
        <x:f>IF(OR(N120="",M120=""),"",N120-M120)</x:f>
      </x:c>
      <x:c r="P120" s="29" t="str">
        <x:f>IF(OR(N120="",O120=""),"",O120/N120)</x:f>
      </x:c>
      <x:c r="Q120" s="28"/>
      <x:c r="R120" s="28"/>
      <x:c r="S120" s="28"/>
      <x:c r="T120" s="28"/>
      <x:c r="U120" s="28"/>
      <x:c r="V120" s="32"/>
      <x:c r="W120" s="28" t="str">
        <x:f>IF(OR(ISNUMBER(SEARCH("aliexpress",D120)),ISNUMBER(SEARCH("aliexpress",X120))),"Revisar mencao","OK")</x:f>
        <x:v>OK</x:v>
      </x:c>
      <x:c r="X120" s="28"/>
    </x:row>
    <x:row r="121">
      <x:c r="A121" s="28"/>
      <x:c r="B121" s="28"/>
      <x:c r="C121" s="28"/>
      <x:c r="D121" s="28"/>
      <x:c r="E121" s="28" t="str">
        <x:f>IF(D121="","",TRIM(SUBSTITUTE(SUBSTITUTE(SUBSTITUTE(SUBSTITUTE(D121,"AliExpress",""),"aliexpress",""),"ALIEXPRESS",""),"Choice","")))</x:f>
      </x:c>
      <x:c r="F121" s="28"/>
      <x:c r="G121" s="28"/>
      <x:c r="H121" s="28" t="str">
        <x:f>IF(G121="","",HYPERLINK(G121,"Abrir foto"))</x:f>
      </x:c>
      <x:c r="I121" s="28" t="str">
        <x:f>IF(G121="","Sem foto",IF(OR(ISNUMBER(SEARCH("logo",G121)),ISNUMBER(SEARCH("sprite",G121)),ISNUMBER(SEARCH("aliexpress",G121))),"Revisar foto","OK"))</x:f>
        <x:v>Sem foto</x:v>
      </x:c>
      <x:c r="J121" s="28"/>
      <x:c r="K121" s="30"/>
      <x:c r="L121" s="30"/>
      <x:c r="M121" s="30" t="str">
        <x:f>IF(K121="","",K121+IF(L121="",0,L121))</x:f>
      </x:c>
      <x:c r="N121" s="30"/>
      <x:c r="O121" s="30" t="str">
        <x:f>IF(OR(N121="",M121=""),"",N121-M121)</x:f>
      </x:c>
      <x:c r="P121" s="29" t="str">
        <x:f>IF(OR(N121="",O121=""),"",O121/N121)</x:f>
      </x:c>
      <x:c r="Q121" s="28"/>
      <x:c r="R121" s="28"/>
      <x:c r="S121" s="28"/>
      <x:c r="T121" s="28"/>
      <x:c r="U121" s="28"/>
      <x:c r="V121" s="32"/>
      <x:c r="W121" s="28" t="str">
        <x:f>IF(OR(ISNUMBER(SEARCH("aliexpress",D121)),ISNUMBER(SEARCH("aliexpress",X121))),"Revisar mencao","OK")</x:f>
        <x:v>OK</x:v>
      </x:c>
      <x:c r="X121" s="28"/>
    </x:row>
    <x:row r="122">
      <x:c r="A122" s="28"/>
      <x:c r="B122" s="28"/>
      <x:c r="C122" s="28"/>
      <x:c r="D122" s="28"/>
      <x:c r="E122" s="28" t="str">
        <x:f>IF(D122="","",TRIM(SUBSTITUTE(SUBSTITUTE(SUBSTITUTE(SUBSTITUTE(D122,"AliExpress",""),"aliexpress",""),"ALIEXPRESS",""),"Choice","")))</x:f>
      </x:c>
      <x:c r="F122" s="28"/>
      <x:c r="G122" s="28"/>
      <x:c r="H122" s="28" t="str">
        <x:f>IF(G122="","",HYPERLINK(G122,"Abrir foto"))</x:f>
      </x:c>
      <x:c r="I122" s="28" t="str">
        <x:f>IF(G122="","Sem foto",IF(OR(ISNUMBER(SEARCH("logo",G122)),ISNUMBER(SEARCH("sprite",G122)),ISNUMBER(SEARCH("aliexpress",G122))),"Revisar foto","OK"))</x:f>
        <x:v>Sem foto</x:v>
      </x:c>
      <x:c r="J122" s="28"/>
      <x:c r="K122" s="30"/>
      <x:c r="L122" s="30"/>
      <x:c r="M122" s="30" t="str">
        <x:f>IF(K122="","",K122+IF(L122="",0,L122))</x:f>
      </x:c>
      <x:c r="N122" s="30"/>
      <x:c r="O122" s="30" t="str">
        <x:f>IF(OR(N122="",M122=""),"",N122-M122)</x:f>
      </x:c>
      <x:c r="P122" s="29" t="str">
        <x:f>IF(OR(N122="",O122=""),"",O122/N122)</x:f>
      </x:c>
      <x:c r="Q122" s="28"/>
      <x:c r="R122" s="28"/>
      <x:c r="S122" s="28"/>
      <x:c r="T122" s="28"/>
      <x:c r="U122" s="28"/>
      <x:c r="V122" s="32"/>
      <x:c r="W122" s="28" t="str">
        <x:f>IF(OR(ISNUMBER(SEARCH("aliexpress",D122)),ISNUMBER(SEARCH("aliexpress",X122))),"Revisar mencao","OK")</x:f>
        <x:v>OK</x:v>
      </x:c>
      <x:c r="X122" s="28"/>
    </x:row>
    <x:row r="123">
      <x:c r="A123" s="28"/>
      <x:c r="B123" s="28"/>
      <x:c r="C123" s="28"/>
      <x:c r="D123" s="28"/>
      <x:c r="E123" s="28" t="str">
        <x:f>IF(D123="","",TRIM(SUBSTITUTE(SUBSTITUTE(SUBSTITUTE(SUBSTITUTE(D123,"AliExpress",""),"aliexpress",""),"ALIEXPRESS",""),"Choice","")))</x:f>
      </x:c>
      <x:c r="F123" s="28"/>
      <x:c r="G123" s="28"/>
      <x:c r="H123" s="28" t="str">
        <x:f>IF(G123="","",HYPERLINK(G123,"Abrir foto"))</x:f>
      </x:c>
      <x:c r="I123" s="28" t="str">
        <x:f>IF(G123="","Sem foto",IF(OR(ISNUMBER(SEARCH("logo",G123)),ISNUMBER(SEARCH("sprite",G123)),ISNUMBER(SEARCH("aliexpress",G123))),"Revisar foto","OK"))</x:f>
        <x:v>Sem foto</x:v>
      </x:c>
      <x:c r="J123" s="28"/>
      <x:c r="K123" s="30"/>
      <x:c r="L123" s="30"/>
      <x:c r="M123" s="30" t="str">
        <x:f>IF(K123="","",K123+IF(L123="",0,L123))</x:f>
      </x:c>
      <x:c r="N123" s="30"/>
      <x:c r="O123" s="30" t="str">
        <x:f>IF(OR(N123="",M123=""),"",N123-M123)</x:f>
      </x:c>
      <x:c r="P123" s="29" t="str">
        <x:f>IF(OR(N123="",O123=""),"",O123/N123)</x:f>
      </x:c>
      <x:c r="Q123" s="28"/>
      <x:c r="R123" s="28"/>
      <x:c r="S123" s="28"/>
      <x:c r="T123" s="28"/>
      <x:c r="U123" s="28"/>
      <x:c r="V123" s="32"/>
      <x:c r="W123" s="28" t="str">
        <x:f>IF(OR(ISNUMBER(SEARCH("aliexpress",D123)),ISNUMBER(SEARCH("aliexpress",X123))),"Revisar mencao","OK")</x:f>
        <x:v>OK</x:v>
      </x:c>
      <x:c r="X123" s="28"/>
    </x:row>
    <x:row r="124">
      <x:c r="A124" s="28"/>
      <x:c r="B124" s="28"/>
      <x:c r="C124" s="28"/>
      <x:c r="D124" s="28"/>
      <x:c r="E124" s="28" t="str">
        <x:f>IF(D124="","",TRIM(SUBSTITUTE(SUBSTITUTE(SUBSTITUTE(SUBSTITUTE(D124,"AliExpress",""),"aliexpress",""),"ALIEXPRESS",""),"Choice","")))</x:f>
      </x:c>
      <x:c r="F124" s="28"/>
      <x:c r="G124" s="28"/>
      <x:c r="H124" s="28" t="str">
        <x:f>IF(G124="","",HYPERLINK(G124,"Abrir foto"))</x:f>
      </x:c>
      <x:c r="I124" s="28" t="str">
        <x:f>IF(G124="","Sem foto",IF(OR(ISNUMBER(SEARCH("logo",G124)),ISNUMBER(SEARCH("sprite",G124)),ISNUMBER(SEARCH("aliexpress",G124))),"Revisar foto","OK"))</x:f>
        <x:v>Sem foto</x:v>
      </x:c>
      <x:c r="J124" s="28"/>
      <x:c r="K124" s="30"/>
      <x:c r="L124" s="30"/>
      <x:c r="M124" s="30" t="str">
        <x:f>IF(K124="","",K124+IF(L124="",0,L124))</x:f>
      </x:c>
      <x:c r="N124" s="30"/>
      <x:c r="O124" s="30" t="str">
        <x:f>IF(OR(N124="",M124=""),"",N124-M124)</x:f>
      </x:c>
      <x:c r="P124" s="29" t="str">
        <x:f>IF(OR(N124="",O124=""),"",O124/N124)</x:f>
      </x:c>
      <x:c r="Q124" s="28"/>
      <x:c r="R124" s="28"/>
      <x:c r="S124" s="28"/>
      <x:c r="T124" s="28"/>
      <x:c r="U124" s="28"/>
      <x:c r="V124" s="32"/>
      <x:c r="W124" s="28" t="str">
        <x:f>IF(OR(ISNUMBER(SEARCH("aliexpress",D124)),ISNUMBER(SEARCH("aliexpress",X124))),"Revisar mencao","OK")</x:f>
        <x:v>OK</x:v>
      </x:c>
      <x:c r="X124" s="28"/>
    </x:row>
    <x:row r="125">
      <x:c r="A125" s="28"/>
      <x:c r="B125" s="28"/>
      <x:c r="C125" s="28"/>
      <x:c r="D125" s="28"/>
      <x:c r="E125" s="28" t="str">
        <x:f>IF(D125="","",TRIM(SUBSTITUTE(SUBSTITUTE(SUBSTITUTE(SUBSTITUTE(D125,"AliExpress",""),"aliexpress",""),"ALIEXPRESS",""),"Choice","")))</x:f>
      </x:c>
      <x:c r="F125" s="28"/>
      <x:c r="G125" s="28"/>
      <x:c r="H125" s="28" t="str">
        <x:f>IF(G125="","",HYPERLINK(G125,"Abrir foto"))</x:f>
      </x:c>
      <x:c r="I125" s="28" t="str">
        <x:f>IF(G125="","Sem foto",IF(OR(ISNUMBER(SEARCH("logo",G125)),ISNUMBER(SEARCH("sprite",G125)),ISNUMBER(SEARCH("aliexpress",G125))),"Revisar foto","OK"))</x:f>
        <x:v>Sem foto</x:v>
      </x:c>
      <x:c r="J125" s="28"/>
      <x:c r="K125" s="30"/>
      <x:c r="L125" s="30"/>
      <x:c r="M125" s="30" t="str">
        <x:f>IF(K125="","",K125+IF(L125="",0,L125))</x:f>
      </x:c>
      <x:c r="N125" s="30"/>
      <x:c r="O125" s="30" t="str">
        <x:f>IF(OR(N125="",M125=""),"",N125-M125)</x:f>
      </x:c>
      <x:c r="P125" s="29" t="str">
        <x:f>IF(OR(N125="",O125=""),"",O125/N125)</x:f>
      </x:c>
      <x:c r="Q125" s="28"/>
      <x:c r="R125" s="28"/>
      <x:c r="S125" s="28"/>
      <x:c r="T125" s="28"/>
      <x:c r="U125" s="28"/>
      <x:c r="V125" s="32"/>
      <x:c r="W125" s="28" t="str">
        <x:f>IF(OR(ISNUMBER(SEARCH("aliexpress",D125)),ISNUMBER(SEARCH("aliexpress",X125))),"Revisar mencao","OK")</x:f>
        <x:v>OK</x:v>
      </x:c>
      <x:c r="X125" s="28"/>
    </x:row>
    <x:row r="126">
      <x:c r="A126" s="28"/>
      <x:c r="B126" s="28"/>
      <x:c r="C126" s="28"/>
      <x:c r="D126" s="28"/>
      <x:c r="E126" s="28" t="str">
        <x:f>IF(D126="","",TRIM(SUBSTITUTE(SUBSTITUTE(SUBSTITUTE(SUBSTITUTE(D126,"AliExpress",""),"aliexpress",""),"ALIEXPRESS",""),"Choice","")))</x:f>
      </x:c>
      <x:c r="F126" s="28"/>
      <x:c r="G126" s="28"/>
      <x:c r="H126" s="28" t="str">
        <x:f>IF(G126="","",HYPERLINK(G126,"Abrir foto"))</x:f>
      </x:c>
      <x:c r="I126" s="28" t="str">
        <x:f>IF(G126="","Sem foto",IF(OR(ISNUMBER(SEARCH("logo",G126)),ISNUMBER(SEARCH("sprite",G126)),ISNUMBER(SEARCH("aliexpress",G126))),"Revisar foto","OK"))</x:f>
        <x:v>Sem foto</x:v>
      </x:c>
      <x:c r="J126" s="28"/>
      <x:c r="K126" s="30"/>
      <x:c r="L126" s="30"/>
      <x:c r="M126" s="30" t="str">
        <x:f>IF(K126="","",K126+IF(L126="",0,L126))</x:f>
      </x:c>
      <x:c r="N126" s="30"/>
      <x:c r="O126" s="30" t="str">
        <x:f>IF(OR(N126="",M126=""),"",N126-M126)</x:f>
      </x:c>
      <x:c r="P126" s="29" t="str">
        <x:f>IF(OR(N126="",O126=""),"",O126/N126)</x:f>
      </x:c>
      <x:c r="Q126" s="28"/>
      <x:c r="R126" s="28"/>
      <x:c r="S126" s="28"/>
      <x:c r="T126" s="28"/>
      <x:c r="U126" s="28"/>
      <x:c r="V126" s="32"/>
      <x:c r="W126" s="28" t="str">
        <x:f>IF(OR(ISNUMBER(SEARCH("aliexpress",D126)),ISNUMBER(SEARCH("aliexpress",X126))),"Revisar mencao","OK")</x:f>
        <x:v>OK</x:v>
      </x:c>
      <x:c r="X126" s="28"/>
    </x:row>
    <x:row r="127">
      <x:c r="A127" s="28"/>
      <x:c r="B127" s="28"/>
      <x:c r="C127" s="28"/>
      <x:c r="D127" s="28"/>
      <x:c r="E127" s="28" t="str">
        <x:f>IF(D127="","",TRIM(SUBSTITUTE(SUBSTITUTE(SUBSTITUTE(SUBSTITUTE(D127,"AliExpress",""),"aliexpress",""),"ALIEXPRESS",""),"Choice","")))</x:f>
      </x:c>
      <x:c r="F127" s="28"/>
      <x:c r="G127" s="28"/>
      <x:c r="H127" s="28" t="str">
        <x:f>IF(G127="","",HYPERLINK(G127,"Abrir foto"))</x:f>
      </x:c>
      <x:c r="I127" s="28" t="str">
        <x:f>IF(G127="","Sem foto",IF(OR(ISNUMBER(SEARCH("logo",G127)),ISNUMBER(SEARCH("sprite",G127)),ISNUMBER(SEARCH("aliexpress",G127))),"Revisar foto","OK"))</x:f>
        <x:v>Sem foto</x:v>
      </x:c>
      <x:c r="J127" s="28"/>
      <x:c r="K127" s="30"/>
      <x:c r="L127" s="30"/>
      <x:c r="M127" s="30" t="str">
        <x:f>IF(K127="","",K127+IF(L127="",0,L127))</x:f>
      </x:c>
      <x:c r="N127" s="30"/>
      <x:c r="O127" s="30" t="str">
        <x:f>IF(OR(N127="",M127=""),"",N127-M127)</x:f>
      </x:c>
      <x:c r="P127" s="29" t="str">
        <x:f>IF(OR(N127="",O127=""),"",O127/N127)</x:f>
      </x:c>
      <x:c r="Q127" s="28"/>
      <x:c r="R127" s="28"/>
      <x:c r="S127" s="28"/>
      <x:c r="T127" s="28"/>
      <x:c r="U127" s="28"/>
      <x:c r="V127" s="32"/>
      <x:c r="W127" s="28" t="str">
        <x:f>IF(OR(ISNUMBER(SEARCH("aliexpress",D127)),ISNUMBER(SEARCH("aliexpress",X127))),"Revisar mencao","OK")</x:f>
        <x:v>OK</x:v>
      </x:c>
      <x:c r="X127" s="28"/>
    </x:row>
    <x:row r="128">
      <x:c r="A128" s="28"/>
      <x:c r="B128" s="28"/>
      <x:c r="C128" s="28"/>
      <x:c r="D128" s="28"/>
      <x:c r="E128" s="28" t="str">
        <x:f>IF(D128="","",TRIM(SUBSTITUTE(SUBSTITUTE(SUBSTITUTE(SUBSTITUTE(D128,"AliExpress",""),"aliexpress",""),"ALIEXPRESS",""),"Choice","")))</x:f>
      </x:c>
      <x:c r="F128" s="28"/>
      <x:c r="G128" s="28"/>
      <x:c r="H128" s="28" t="str">
        <x:f>IF(G128="","",HYPERLINK(G128,"Abrir foto"))</x:f>
      </x:c>
      <x:c r="I128" s="28" t="str">
        <x:f>IF(G128="","Sem foto",IF(OR(ISNUMBER(SEARCH("logo",G128)),ISNUMBER(SEARCH("sprite",G128)),ISNUMBER(SEARCH("aliexpress",G128))),"Revisar foto","OK"))</x:f>
        <x:v>Sem foto</x:v>
      </x:c>
      <x:c r="J128" s="28"/>
      <x:c r="K128" s="30"/>
      <x:c r="L128" s="30"/>
      <x:c r="M128" s="30" t="str">
        <x:f>IF(K128="","",K128+IF(L128="",0,L128))</x:f>
      </x:c>
      <x:c r="N128" s="30"/>
      <x:c r="O128" s="30" t="str">
        <x:f>IF(OR(N128="",M128=""),"",N128-M128)</x:f>
      </x:c>
      <x:c r="P128" s="29" t="str">
        <x:f>IF(OR(N128="",O128=""),"",O128/N128)</x:f>
      </x:c>
      <x:c r="Q128" s="28"/>
      <x:c r="R128" s="28"/>
      <x:c r="S128" s="28"/>
      <x:c r="T128" s="28"/>
      <x:c r="U128" s="28"/>
      <x:c r="V128" s="32"/>
      <x:c r="W128" s="28" t="str">
        <x:f>IF(OR(ISNUMBER(SEARCH("aliexpress",D128)),ISNUMBER(SEARCH("aliexpress",X128))),"Revisar mencao","OK")</x:f>
        <x:v>OK</x:v>
      </x:c>
      <x:c r="X128" s="28"/>
    </x:row>
    <x:row r="129">
      <x:c r="A129" s="28"/>
      <x:c r="B129" s="28"/>
      <x:c r="C129" s="28"/>
      <x:c r="D129" s="28"/>
      <x:c r="E129" s="28" t="str">
        <x:f>IF(D129="","",TRIM(SUBSTITUTE(SUBSTITUTE(SUBSTITUTE(SUBSTITUTE(D129,"AliExpress",""),"aliexpress",""),"ALIEXPRESS",""),"Choice","")))</x:f>
      </x:c>
      <x:c r="F129" s="28"/>
      <x:c r="G129" s="28"/>
      <x:c r="H129" s="28" t="str">
        <x:f>IF(G129="","",HYPERLINK(G129,"Abrir foto"))</x:f>
      </x:c>
      <x:c r="I129" s="28" t="str">
        <x:f>IF(G129="","Sem foto",IF(OR(ISNUMBER(SEARCH("logo",G129)),ISNUMBER(SEARCH("sprite",G129)),ISNUMBER(SEARCH("aliexpress",G129))),"Revisar foto","OK"))</x:f>
        <x:v>Sem foto</x:v>
      </x:c>
      <x:c r="J129" s="28"/>
      <x:c r="K129" s="30"/>
      <x:c r="L129" s="30"/>
      <x:c r="M129" s="30" t="str">
        <x:f>IF(K129="","",K129+IF(L129="",0,L129))</x:f>
      </x:c>
      <x:c r="N129" s="30"/>
      <x:c r="O129" s="30" t="str">
        <x:f>IF(OR(N129="",M129=""),"",N129-M129)</x:f>
      </x:c>
      <x:c r="P129" s="29" t="str">
        <x:f>IF(OR(N129="",O129=""),"",O129/N129)</x:f>
      </x:c>
      <x:c r="Q129" s="28"/>
      <x:c r="R129" s="28"/>
      <x:c r="S129" s="28"/>
      <x:c r="T129" s="28"/>
      <x:c r="U129" s="28"/>
      <x:c r="V129" s="32"/>
      <x:c r="W129" s="28" t="str">
        <x:f>IF(OR(ISNUMBER(SEARCH("aliexpress",D129)),ISNUMBER(SEARCH("aliexpress",X129))),"Revisar mencao","OK")</x:f>
        <x:v>OK</x:v>
      </x:c>
      <x:c r="X129" s="28"/>
    </x:row>
    <x:row r="130">
      <x:c r="A130" s="28"/>
      <x:c r="B130" s="28"/>
      <x:c r="C130" s="28"/>
      <x:c r="D130" s="28"/>
      <x:c r="E130" s="28" t="str">
        <x:f>IF(D130="","",TRIM(SUBSTITUTE(SUBSTITUTE(SUBSTITUTE(SUBSTITUTE(D130,"AliExpress",""),"aliexpress",""),"ALIEXPRESS",""),"Choice","")))</x:f>
      </x:c>
      <x:c r="F130" s="28"/>
      <x:c r="G130" s="28"/>
      <x:c r="H130" s="28" t="str">
        <x:f>IF(G130="","",HYPERLINK(G130,"Abrir foto"))</x:f>
      </x:c>
      <x:c r="I130" s="28" t="str">
        <x:f>IF(G130="","Sem foto",IF(OR(ISNUMBER(SEARCH("logo",G130)),ISNUMBER(SEARCH("sprite",G130)),ISNUMBER(SEARCH("aliexpress",G130))),"Revisar foto","OK"))</x:f>
        <x:v>Sem foto</x:v>
      </x:c>
      <x:c r="J130" s="28"/>
      <x:c r="K130" s="30"/>
      <x:c r="L130" s="30"/>
      <x:c r="M130" s="30" t="str">
        <x:f>IF(K130="","",K130+IF(L130="",0,L130))</x:f>
      </x:c>
      <x:c r="N130" s="30"/>
      <x:c r="O130" s="30" t="str">
        <x:f>IF(OR(N130="",M130=""),"",N130-M130)</x:f>
      </x:c>
      <x:c r="P130" s="29" t="str">
        <x:f>IF(OR(N130="",O130=""),"",O130/N130)</x:f>
      </x:c>
      <x:c r="Q130" s="28"/>
      <x:c r="R130" s="28"/>
      <x:c r="S130" s="28"/>
      <x:c r="T130" s="28"/>
      <x:c r="U130" s="28"/>
      <x:c r="V130" s="32"/>
      <x:c r="W130" s="28" t="str">
        <x:f>IF(OR(ISNUMBER(SEARCH("aliexpress",D130)),ISNUMBER(SEARCH("aliexpress",X130))),"Revisar mencao","OK")</x:f>
        <x:v>OK</x:v>
      </x:c>
      <x:c r="X130" s="28"/>
    </x:row>
    <x:row r="131">
      <x:c r="A131" s="28"/>
      <x:c r="B131" s="28"/>
      <x:c r="C131" s="28"/>
      <x:c r="D131" s="28"/>
      <x:c r="E131" s="28" t="str">
        <x:f>IF(D131="","",TRIM(SUBSTITUTE(SUBSTITUTE(SUBSTITUTE(SUBSTITUTE(D131,"AliExpress",""),"aliexpress",""),"ALIEXPRESS",""),"Choice","")))</x:f>
      </x:c>
      <x:c r="F131" s="28"/>
      <x:c r="G131" s="28"/>
      <x:c r="H131" s="28" t="str">
        <x:f>IF(G131="","",HYPERLINK(G131,"Abrir foto"))</x:f>
      </x:c>
      <x:c r="I131" s="28" t="str">
        <x:f>IF(G131="","Sem foto",IF(OR(ISNUMBER(SEARCH("logo",G131)),ISNUMBER(SEARCH("sprite",G131)),ISNUMBER(SEARCH("aliexpress",G131))),"Revisar foto","OK"))</x:f>
        <x:v>Sem foto</x:v>
      </x:c>
      <x:c r="J131" s="28"/>
      <x:c r="K131" s="30"/>
      <x:c r="L131" s="30"/>
      <x:c r="M131" s="30" t="str">
        <x:f>IF(K131="","",K131+IF(L131="",0,L131))</x:f>
      </x:c>
      <x:c r="N131" s="30"/>
      <x:c r="O131" s="30" t="str">
        <x:f>IF(OR(N131="",M131=""),"",N131-M131)</x:f>
      </x:c>
      <x:c r="P131" s="29" t="str">
        <x:f>IF(OR(N131="",O131=""),"",O131/N131)</x:f>
      </x:c>
      <x:c r="Q131" s="28"/>
      <x:c r="R131" s="28"/>
      <x:c r="S131" s="28"/>
      <x:c r="T131" s="28"/>
      <x:c r="U131" s="28"/>
      <x:c r="V131" s="32"/>
      <x:c r="W131" s="28" t="str">
        <x:f>IF(OR(ISNUMBER(SEARCH("aliexpress",D131)),ISNUMBER(SEARCH("aliexpress",X131))),"Revisar mencao","OK")</x:f>
        <x:v>OK</x:v>
      </x:c>
      <x:c r="X131" s="28"/>
    </x:row>
    <x:row r="132">
      <x:c r="A132" s="28"/>
      <x:c r="B132" s="28"/>
      <x:c r="C132" s="28"/>
      <x:c r="D132" s="28"/>
      <x:c r="E132" s="28" t="str">
        <x:f>IF(D132="","",TRIM(SUBSTITUTE(SUBSTITUTE(SUBSTITUTE(SUBSTITUTE(D132,"AliExpress",""),"aliexpress",""),"ALIEXPRESS",""),"Choice","")))</x:f>
      </x:c>
      <x:c r="F132" s="28"/>
      <x:c r="G132" s="28"/>
      <x:c r="H132" s="28" t="str">
        <x:f>IF(G132="","",HYPERLINK(G132,"Abrir foto"))</x:f>
      </x:c>
      <x:c r="I132" s="28" t="str">
        <x:f>IF(G132="","Sem foto",IF(OR(ISNUMBER(SEARCH("logo",G132)),ISNUMBER(SEARCH("sprite",G132)),ISNUMBER(SEARCH("aliexpress",G132))),"Revisar foto","OK"))</x:f>
        <x:v>Sem foto</x:v>
      </x:c>
      <x:c r="J132" s="28"/>
      <x:c r="K132" s="30"/>
      <x:c r="L132" s="30"/>
      <x:c r="M132" s="30" t="str">
        <x:f>IF(K132="","",K132+IF(L132="",0,L132))</x:f>
      </x:c>
      <x:c r="N132" s="30"/>
      <x:c r="O132" s="30" t="str">
        <x:f>IF(OR(N132="",M132=""),"",N132-M132)</x:f>
      </x:c>
      <x:c r="P132" s="29" t="str">
        <x:f>IF(OR(N132="",O132=""),"",O132/N132)</x:f>
      </x:c>
      <x:c r="Q132" s="28"/>
      <x:c r="R132" s="28"/>
      <x:c r="S132" s="28"/>
      <x:c r="T132" s="28"/>
      <x:c r="U132" s="28"/>
      <x:c r="V132" s="32"/>
      <x:c r="W132" s="28" t="str">
        <x:f>IF(OR(ISNUMBER(SEARCH("aliexpress",D132)),ISNUMBER(SEARCH("aliexpress",X132))),"Revisar mencao","OK")</x:f>
        <x:v>OK</x:v>
      </x:c>
      <x:c r="X132" s="28"/>
    </x:row>
    <x:row r="133">
      <x:c r="A133" s="28"/>
      <x:c r="B133" s="28"/>
      <x:c r="C133" s="28"/>
      <x:c r="D133" s="28"/>
      <x:c r="E133" s="28" t="str">
        <x:f>IF(D133="","",TRIM(SUBSTITUTE(SUBSTITUTE(SUBSTITUTE(SUBSTITUTE(D133,"AliExpress",""),"aliexpress",""),"ALIEXPRESS",""),"Choice","")))</x:f>
      </x:c>
      <x:c r="F133" s="28"/>
      <x:c r="G133" s="28"/>
      <x:c r="H133" s="28" t="str">
        <x:f>IF(G133="","",HYPERLINK(G133,"Abrir foto"))</x:f>
      </x:c>
      <x:c r="I133" s="28" t="str">
        <x:f>IF(G133="","Sem foto",IF(OR(ISNUMBER(SEARCH("logo",G133)),ISNUMBER(SEARCH("sprite",G133)),ISNUMBER(SEARCH("aliexpress",G133))),"Revisar foto","OK"))</x:f>
        <x:v>Sem foto</x:v>
      </x:c>
      <x:c r="J133" s="28"/>
      <x:c r="K133" s="30"/>
      <x:c r="L133" s="30"/>
      <x:c r="M133" s="30" t="str">
        <x:f>IF(K133="","",K133+IF(L133="",0,L133))</x:f>
      </x:c>
      <x:c r="N133" s="30"/>
      <x:c r="O133" s="30" t="str">
        <x:f>IF(OR(N133="",M133=""),"",N133-M133)</x:f>
      </x:c>
      <x:c r="P133" s="29" t="str">
        <x:f>IF(OR(N133="",O133=""),"",O133/N133)</x:f>
      </x:c>
      <x:c r="Q133" s="28"/>
      <x:c r="R133" s="28"/>
      <x:c r="S133" s="28"/>
      <x:c r="T133" s="28"/>
      <x:c r="U133" s="28"/>
      <x:c r="V133" s="32"/>
      <x:c r="W133" s="28" t="str">
        <x:f>IF(OR(ISNUMBER(SEARCH("aliexpress",D133)),ISNUMBER(SEARCH("aliexpress",X133))),"Revisar mencao","OK")</x:f>
        <x:v>OK</x:v>
      </x:c>
      <x:c r="X133" s="28"/>
    </x:row>
    <x:row r="134">
      <x:c r="A134" s="28"/>
      <x:c r="B134" s="28"/>
      <x:c r="C134" s="28"/>
      <x:c r="D134" s="28"/>
      <x:c r="E134" s="28" t="str">
        <x:f>IF(D134="","",TRIM(SUBSTITUTE(SUBSTITUTE(SUBSTITUTE(SUBSTITUTE(D134,"AliExpress",""),"aliexpress",""),"ALIEXPRESS",""),"Choice","")))</x:f>
      </x:c>
      <x:c r="F134" s="28"/>
      <x:c r="G134" s="28"/>
      <x:c r="H134" s="28" t="str">
        <x:f>IF(G134="","",HYPERLINK(G134,"Abrir foto"))</x:f>
      </x:c>
      <x:c r="I134" s="28" t="str">
        <x:f>IF(G134="","Sem foto",IF(OR(ISNUMBER(SEARCH("logo",G134)),ISNUMBER(SEARCH("sprite",G134)),ISNUMBER(SEARCH("aliexpress",G134))),"Revisar foto","OK"))</x:f>
        <x:v>Sem foto</x:v>
      </x:c>
      <x:c r="J134" s="28"/>
      <x:c r="K134" s="30"/>
      <x:c r="L134" s="30"/>
      <x:c r="M134" s="30" t="str">
        <x:f>IF(K134="","",K134+IF(L134="",0,L134))</x:f>
      </x:c>
      <x:c r="N134" s="30"/>
      <x:c r="O134" s="30" t="str">
        <x:f>IF(OR(N134="",M134=""),"",N134-M134)</x:f>
      </x:c>
      <x:c r="P134" s="29" t="str">
        <x:f>IF(OR(N134="",O134=""),"",O134/N134)</x:f>
      </x:c>
      <x:c r="Q134" s="28"/>
      <x:c r="R134" s="28"/>
      <x:c r="S134" s="28"/>
      <x:c r="T134" s="28"/>
      <x:c r="U134" s="28"/>
      <x:c r="V134" s="32"/>
      <x:c r="W134" s="28" t="str">
        <x:f>IF(OR(ISNUMBER(SEARCH("aliexpress",D134)),ISNUMBER(SEARCH("aliexpress",X134))),"Revisar mencao","OK")</x:f>
        <x:v>OK</x:v>
      </x:c>
      <x:c r="X134" s="28"/>
    </x:row>
    <x:row r="135">
      <x:c r="A135" s="28"/>
      <x:c r="B135" s="28"/>
      <x:c r="C135" s="28"/>
      <x:c r="D135" s="28"/>
      <x:c r="E135" s="28" t="str">
        <x:f>IF(D135="","",TRIM(SUBSTITUTE(SUBSTITUTE(SUBSTITUTE(SUBSTITUTE(D135,"AliExpress",""),"aliexpress",""),"ALIEXPRESS",""),"Choice","")))</x:f>
      </x:c>
      <x:c r="F135" s="28"/>
      <x:c r="G135" s="28"/>
      <x:c r="H135" s="28" t="str">
        <x:f>IF(G135="","",HYPERLINK(G135,"Abrir foto"))</x:f>
      </x:c>
      <x:c r="I135" s="28" t="str">
        <x:f>IF(G135="","Sem foto",IF(OR(ISNUMBER(SEARCH("logo",G135)),ISNUMBER(SEARCH("sprite",G135)),ISNUMBER(SEARCH("aliexpress",G135))),"Revisar foto","OK"))</x:f>
        <x:v>Sem foto</x:v>
      </x:c>
      <x:c r="J135" s="28"/>
      <x:c r="K135" s="30"/>
      <x:c r="L135" s="30"/>
      <x:c r="M135" s="30" t="str">
        <x:f>IF(K135="","",K135+IF(L135="",0,L135))</x:f>
      </x:c>
      <x:c r="N135" s="30"/>
      <x:c r="O135" s="30" t="str">
        <x:f>IF(OR(N135="",M135=""),"",N135-M135)</x:f>
      </x:c>
      <x:c r="P135" s="29" t="str">
        <x:f>IF(OR(N135="",O135=""),"",O135/N135)</x:f>
      </x:c>
      <x:c r="Q135" s="28"/>
      <x:c r="R135" s="28"/>
      <x:c r="S135" s="28"/>
      <x:c r="T135" s="28"/>
      <x:c r="U135" s="28"/>
      <x:c r="V135" s="32"/>
      <x:c r="W135" s="28" t="str">
        <x:f>IF(OR(ISNUMBER(SEARCH("aliexpress",D135)),ISNUMBER(SEARCH("aliexpress",X135))),"Revisar mencao","OK")</x:f>
        <x:v>OK</x:v>
      </x:c>
      <x:c r="X135" s="28"/>
    </x:row>
    <x:row r="136">
      <x:c r="A136" s="28"/>
      <x:c r="B136" s="28"/>
      <x:c r="C136" s="28"/>
      <x:c r="D136" s="28"/>
      <x:c r="E136" s="28" t="str">
        <x:f>IF(D136="","",TRIM(SUBSTITUTE(SUBSTITUTE(SUBSTITUTE(SUBSTITUTE(D136,"AliExpress",""),"aliexpress",""),"ALIEXPRESS",""),"Choice","")))</x:f>
      </x:c>
      <x:c r="F136" s="28"/>
      <x:c r="G136" s="28"/>
      <x:c r="H136" s="28" t="str">
        <x:f>IF(G136="","",HYPERLINK(G136,"Abrir foto"))</x:f>
      </x:c>
      <x:c r="I136" s="28" t="str">
        <x:f>IF(G136="","Sem foto",IF(OR(ISNUMBER(SEARCH("logo",G136)),ISNUMBER(SEARCH("sprite",G136)),ISNUMBER(SEARCH("aliexpress",G136))),"Revisar foto","OK"))</x:f>
        <x:v>Sem foto</x:v>
      </x:c>
      <x:c r="J136" s="28"/>
      <x:c r="K136" s="30"/>
      <x:c r="L136" s="30"/>
      <x:c r="M136" s="30" t="str">
        <x:f>IF(K136="","",K136+IF(L136="",0,L136))</x:f>
      </x:c>
      <x:c r="N136" s="30"/>
      <x:c r="O136" s="30" t="str">
        <x:f>IF(OR(N136="",M136=""),"",N136-M136)</x:f>
      </x:c>
      <x:c r="P136" s="29" t="str">
        <x:f>IF(OR(N136="",O136=""),"",O136/N136)</x:f>
      </x:c>
      <x:c r="Q136" s="28"/>
      <x:c r="R136" s="28"/>
      <x:c r="S136" s="28"/>
      <x:c r="T136" s="28"/>
      <x:c r="U136" s="28"/>
      <x:c r="V136" s="32"/>
      <x:c r="W136" s="28" t="str">
        <x:f>IF(OR(ISNUMBER(SEARCH("aliexpress",D136)),ISNUMBER(SEARCH("aliexpress",X136))),"Revisar mencao","OK")</x:f>
        <x:v>OK</x:v>
      </x:c>
      <x:c r="X136" s="28"/>
    </x:row>
    <x:row r="137">
      <x:c r="A137" s="28"/>
      <x:c r="B137" s="28"/>
      <x:c r="C137" s="28"/>
      <x:c r="D137" s="28"/>
      <x:c r="E137" s="28" t="str">
        <x:f>IF(D137="","",TRIM(SUBSTITUTE(SUBSTITUTE(SUBSTITUTE(SUBSTITUTE(D137,"AliExpress",""),"aliexpress",""),"ALIEXPRESS",""),"Choice","")))</x:f>
      </x:c>
      <x:c r="F137" s="28"/>
      <x:c r="G137" s="28"/>
      <x:c r="H137" s="28" t="str">
        <x:f>IF(G137="","",HYPERLINK(G137,"Abrir foto"))</x:f>
      </x:c>
      <x:c r="I137" s="28" t="str">
        <x:f>IF(G137="","Sem foto",IF(OR(ISNUMBER(SEARCH("logo",G137)),ISNUMBER(SEARCH("sprite",G137)),ISNUMBER(SEARCH("aliexpress",G137))),"Revisar foto","OK"))</x:f>
        <x:v>Sem foto</x:v>
      </x:c>
      <x:c r="J137" s="28"/>
      <x:c r="K137" s="30"/>
      <x:c r="L137" s="30"/>
      <x:c r="M137" s="30" t="str">
        <x:f>IF(K137="","",K137+IF(L137="",0,L137))</x:f>
      </x:c>
      <x:c r="N137" s="30"/>
      <x:c r="O137" s="30" t="str">
        <x:f>IF(OR(N137="",M137=""),"",N137-M137)</x:f>
      </x:c>
      <x:c r="P137" s="29" t="str">
        <x:f>IF(OR(N137="",O137=""),"",O137/N137)</x:f>
      </x:c>
      <x:c r="Q137" s="28"/>
      <x:c r="R137" s="28"/>
      <x:c r="S137" s="28"/>
      <x:c r="T137" s="28"/>
      <x:c r="U137" s="28"/>
      <x:c r="V137" s="32"/>
      <x:c r="W137" s="28" t="str">
        <x:f>IF(OR(ISNUMBER(SEARCH("aliexpress",D137)),ISNUMBER(SEARCH("aliexpress",X137))),"Revisar mencao","OK")</x:f>
        <x:v>OK</x:v>
      </x:c>
      <x:c r="X137" s="28"/>
    </x:row>
    <x:row r="138">
      <x:c r="A138" s="28"/>
      <x:c r="B138" s="28"/>
      <x:c r="C138" s="28"/>
      <x:c r="D138" s="28"/>
      <x:c r="E138" s="28" t="str">
        <x:f>IF(D138="","",TRIM(SUBSTITUTE(SUBSTITUTE(SUBSTITUTE(SUBSTITUTE(D138,"AliExpress",""),"aliexpress",""),"ALIEXPRESS",""),"Choice","")))</x:f>
      </x:c>
      <x:c r="F138" s="28"/>
      <x:c r="G138" s="28"/>
      <x:c r="H138" s="28" t="str">
        <x:f>IF(G138="","",HYPERLINK(G138,"Abrir foto"))</x:f>
      </x:c>
      <x:c r="I138" s="28" t="str">
        <x:f>IF(G138="","Sem foto",IF(OR(ISNUMBER(SEARCH("logo",G138)),ISNUMBER(SEARCH("sprite",G138)),ISNUMBER(SEARCH("aliexpress",G138))),"Revisar foto","OK"))</x:f>
        <x:v>Sem foto</x:v>
      </x:c>
      <x:c r="J138" s="28"/>
      <x:c r="K138" s="30"/>
      <x:c r="L138" s="30"/>
      <x:c r="M138" s="30" t="str">
        <x:f>IF(K138="","",K138+IF(L138="",0,L138))</x:f>
      </x:c>
      <x:c r="N138" s="30"/>
      <x:c r="O138" s="30" t="str">
        <x:f>IF(OR(N138="",M138=""),"",N138-M138)</x:f>
      </x:c>
      <x:c r="P138" s="29" t="str">
        <x:f>IF(OR(N138="",O138=""),"",O138/N138)</x:f>
      </x:c>
      <x:c r="Q138" s="28"/>
      <x:c r="R138" s="28"/>
      <x:c r="S138" s="28"/>
      <x:c r="T138" s="28"/>
      <x:c r="U138" s="28"/>
      <x:c r="V138" s="32"/>
      <x:c r="W138" s="28" t="str">
        <x:f>IF(OR(ISNUMBER(SEARCH("aliexpress",D138)),ISNUMBER(SEARCH("aliexpress",X138))),"Revisar mencao","OK")</x:f>
        <x:v>OK</x:v>
      </x:c>
      <x:c r="X138" s="28"/>
    </x:row>
    <x:row r="139">
      <x:c r="A139" s="28"/>
      <x:c r="B139" s="28"/>
      <x:c r="C139" s="28"/>
      <x:c r="D139" s="28"/>
      <x:c r="E139" s="28" t="str">
        <x:f>IF(D139="","",TRIM(SUBSTITUTE(SUBSTITUTE(SUBSTITUTE(SUBSTITUTE(D139,"AliExpress",""),"aliexpress",""),"ALIEXPRESS",""),"Choice","")))</x:f>
      </x:c>
      <x:c r="F139" s="28"/>
      <x:c r="G139" s="28"/>
      <x:c r="H139" s="28" t="str">
        <x:f>IF(G139="","",HYPERLINK(G139,"Abrir foto"))</x:f>
      </x:c>
      <x:c r="I139" s="28" t="str">
        <x:f>IF(G139="","Sem foto",IF(OR(ISNUMBER(SEARCH("logo",G139)),ISNUMBER(SEARCH("sprite",G139)),ISNUMBER(SEARCH("aliexpress",G139))),"Revisar foto","OK"))</x:f>
        <x:v>Sem foto</x:v>
      </x:c>
      <x:c r="J139" s="28"/>
      <x:c r="K139" s="30"/>
      <x:c r="L139" s="30"/>
      <x:c r="M139" s="30" t="str">
        <x:f>IF(K139="","",K139+IF(L139="",0,L139))</x:f>
      </x:c>
      <x:c r="N139" s="30"/>
      <x:c r="O139" s="30" t="str">
        <x:f>IF(OR(N139="",M139=""),"",N139-M139)</x:f>
      </x:c>
      <x:c r="P139" s="29" t="str">
        <x:f>IF(OR(N139="",O139=""),"",O139/N139)</x:f>
      </x:c>
      <x:c r="Q139" s="28"/>
      <x:c r="R139" s="28"/>
      <x:c r="S139" s="28"/>
      <x:c r="T139" s="28"/>
      <x:c r="U139" s="28"/>
      <x:c r="V139" s="32"/>
      <x:c r="W139" s="28" t="str">
        <x:f>IF(OR(ISNUMBER(SEARCH("aliexpress",D139)),ISNUMBER(SEARCH("aliexpress",X139))),"Revisar mencao","OK")</x:f>
        <x:v>OK</x:v>
      </x:c>
      <x:c r="X139" s="28"/>
    </x:row>
    <x:row r="140">
      <x:c r="A140" s="28"/>
      <x:c r="B140" s="28"/>
      <x:c r="C140" s="28"/>
      <x:c r="D140" s="28"/>
      <x:c r="E140" s="28" t="str">
        <x:f>IF(D140="","",TRIM(SUBSTITUTE(SUBSTITUTE(SUBSTITUTE(SUBSTITUTE(D140,"AliExpress",""),"aliexpress",""),"ALIEXPRESS",""),"Choice","")))</x:f>
      </x:c>
      <x:c r="F140" s="28"/>
      <x:c r="G140" s="28"/>
      <x:c r="H140" s="28" t="str">
        <x:f>IF(G140="","",HYPERLINK(G140,"Abrir foto"))</x:f>
      </x:c>
      <x:c r="I140" s="28" t="str">
        <x:f>IF(G140="","Sem foto",IF(OR(ISNUMBER(SEARCH("logo",G140)),ISNUMBER(SEARCH("sprite",G140)),ISNUMBER(SEARCH("aliexpress",G140))),"Revisar foto","OK"))</x:f>
        <x:v>Sem foto</x:v>
      </x:c>
      <x:c r="J140" s="28"/>
      <x:c r="K140" s="30"/>
      <x:c r="L140" s="30"/>
      <x:c r="M140" s="30" t="str">
        <x:f>IF(K140="","",K140+IF(L140="",0,L140))</x:f>
      </x:c>
      <x:c r="N140" s="30"/>
      <x:c r="O140" s="30" t="str">
        <x:f>IF(OR(N140="",M140=""),"",N140-M140)</x:f>
      </x:c>
      <x:c r="P140" s="29" t="str">
        <x:f>IF(OR(N140="",O140=""),"",O140/N140)</x:f>
      </x:c>
      <x:c r="Q140" s="28"/>
      <x:c r="R140" s="28"/>
      <x:c r="S140" s="28"/>
      <x:c r="T140" s="28"/>
      <x:c r="U140" s="28"/>
      <x:c r="V140" s="32"/>
      <x:c r="W140" s="28" t="str">
        <x:f>IF(OR(ISNUMBER(SEARCH("aliexpress",D140)),ISNUMBER(SEARCH("aliexpress",X140))),"Revisar mencao","OK")</x:f>
        <x:v>OK</x:v>
      </x:c>
      <x:c r="X140" s="28"/>
    </x:row>
    <x:row r="141">
      <x:c r="A141" s="28"/>
      <x:c r="B141" s="28"/>
      <x:c r="C141" s="28"/>
      <x:c r="D141" s="28"/>
      <x:c r="E141" s="28" t="str">
        <x:f>IF(D141="","",TRIM(SUBSTITUTE(SUBSTITUTE(SUBSTITUTE(SUBSTITUTE(D141,"AliExpress",""),"aliexpress",""),"ALIEXPRESS",""),"Choice","")))</x:f>
      </x:c>
      <x:c r="F141" s="28"/>
      <x:c r="G141" s="28"/>
      <x:c r="H141" s="28" t="str">
        <x:f>IF(G141="","",HYPERLINK(G141,"Abrir foto"))</x:f>
      </x:c>
      <x:c r="I141" s="28" t="str">
        <x:f>IF(G141="","Sem foto",IF(OR(ISNUMBER(SEARCH("logo",G141)),ISNUMBER(SEARCH("sprite",G141)),ISNUMBER(SEARCH("aliexpress",G141))),"Revisar foto","OK"))</x:f>
        <x:v>Sem foto</x:v>
      </x:c>
      <x:c r="J141" s="28"/>
      <x:c r="K141" s="30"/>
      <x:c r="L141" s="30"/>
      <x:c r="M141" s="30" t="str">
        <x:f>IF(K141="","",K141+IF(L141="",0,L141))</x:f>
      </x:c>
      <x:c r="N141" s="30"/>
      <x:c r="O141" s="30" t="str">
        <x:f>IF(OR(N141="",M141=""),"",N141-M141)</x:f>
      </x:c>
      <x:c r="P141" s="29" t="str">
        <x:f>IF(OR(N141="",O141=""),"",O141/N141)</x:f>
      </x:c>
      <x:c r="Q141" s="28"/>
      <x:c r="R141" s="28"/>
      <x:c r="S141" s="28"/>
      <x:c r="T141" s="28"/>
      <x:c r="U141" s="28"/>
      <x:c r="V141" s="32"/>
      <x:c r="W141" s="28" t="str">
        <x:f>IF(OR(ISNUMBER(SEARCH("aliexpress",D141)),ISNUMBER(SEARCH("aliexpress",X141))),"Revisar mencao","OK")</x:f>
        <x:v>OK</x:v>
      </x:c>
      <x:c r="X141" s="28"/>
    </x:row>
    <x:row r="142">
      <x:c r="A142" s="28"/>
      <x:c r="B142" s="28"/>
      <x:c r="C142" s="28"/>
      <x:c r="D142" s="28"/>
      <x:c r="E142" s="28" t="str">
        <x:f>IF(D142="","",TRIM(SUBSTITUTE(SUBSTITUTE(SUBSTITUTE(SUBSTITUTE(D142,"AliExpress",""),"aliexpress",""),"ALIEXPRESS",""),"Choice","")))</x:f>
      </x:c>
      <x:c r="F142" s="28"/>
      <x:c r="G142" s="28"/>
      <x:c r="H142" s="28" t="str">
        <x:f>IF(G142="","",HYPERLINK(G142,"Abrir foto"))</x:f>
      </x:c>
      <x:c r="I142" s="28" t="str">
        <x:f>IF(G142="","Sem foto",IF(OR(ISNUMBER(SEARCH("logo",G142)),ISNUMBER(SEARCH("sprite",G142)),ISNUMBER(SEARCH("aliexpress",G142))),"Revisar foto","OK"))</x:f>
        <x:v>Sem foto</x:v>
      </x:c>
      <x:c r="J142" s="28"/>
      <x:c r="K142" s="30"/>
      <x:c r="L142" s="30"/>
      <x:c r="M142" s="30" t="str">
        <x:f>IF(K142="","",K142+IF(L142="",0,L142))</x:f>
      </x:c>
      <x:c r="N142" s="30"/>
      <x:c r="O142" s="30" t="str">
        <x:f>IF(OR(N142="",M142=""),"",N142-M142)</x:f>
      </x:c>
      <x:c r="P142" s="29" t="str">
        <x:f>IF(OR(N142="",O142=""),"",O142/N142)</x:f>
      </x:c>
      <x:c r="Q142" s="28"/>
      <x:c r="R142" s="28"/>
      <x:c r="S142" s="28"/>
      <x:c r="T142" s="28"/>
      <x:c r="U142" s="28"/>
      <x:c r="V142" s="32"/>
      <x:c r="W142" s="28" t="str">
        <x:f>IF(OR(ISNUMBER(SEARCH("aliexpress",D142)),ISNUMBER(SEARCH("aliexpress",X142))),"Revisar mencao","OK")</x:f>
        <x:v>OK</x:v>
      </x:c>
      <x:c r="X142" s="28"/>
    </x:row>
    <x:row r="143">
      <x:c r="A143" s="28"/>
      <x:c r="B143" s="28"/>
      <x:c r="C143" s="28"/>
      <x:c r="D143" s="28"/>
      <x:c r="E143" s="28" t="str">
        <x:f>IF(D143="","",TRIM(SUBSTITUTE(SUBSTITUTE(SUBSTITUTE(SUBSTITUTE(D143,"AliExpress",""),"aliexpress",""),"ALIEXPRESS",""),"Choice","")))</x:f>
      </x:c>
      <x:c r="F143" s="28"/>
      <x:c r="G143" s="28"/>
      <x:c r="H143" s="28" t="str">
        <x:f>IF(G143="","",HYPERLINK(G143,"Abrir foto"))</x:f>
      </x:c>
      <x:c r="I143" s="28" t="str">
        <x:f>IF(G143="","Sem foto",IF(OR(ISNUMBER(SEARCH("logo",G143)),ISNUMBER(SEARCH("sprite",G143)),ISNUMBER(SEARCH("aliexpress",G143))),"Revisar foto","OK"))</x:f>
        <x:v>Sem foto</x:v>
      </x:c>
      <x:c r="J143" s="28"/>
      <x:c r="K143" s="30"/>
      <x:c r="L143" s="30"/>
      <x:c r="M143" s="30" t="str">
        <x:f>IF(K143="","",K143+IF(L143="",0,L143))</x:f>
      </x:c>
      <x:c r="N143" s="30"/>
      <x:c r="O143" s="30" t="str">
        <x:f>IF(OR(N143="",M143=""),"",N143-M143)</x:f>
      </x:c>
      <x:c r="P143" s="29" t="str">
        <x:f>IF(OR(N143="",O143=""),"",O143/N143)</x:f>
      </x:c>
      <x:c r="Q143" s="28"/>
      <x:c r="R143" s="28"/>
      <x:c r="S143" s="28"/>
      <x:c r="T143" s="28"/>
      <x:c r="U143" s="28"/>
      <x:c r="V143" s="32"/>
      <x:c r="W143" s="28" t="str">
        <x:f>IF(OR(ISNUMBER(SEARCH("aliexpress",D143)),ISNUMBER(SEARCH("aliexpress",X143))),"Revisar mencao","OK")</x:f>
        <x:v>OK</x:v>
      </x:c>
      <x:c r="X143" s="28"/>
    </x:row>
    <x:row r="144">
      <x:c r="A144" s="28"/>
      <x:c r="B144" s="28"/>
      <x:c r="C144" s="28"/>
      <x:c r="D144" s="28"/>
      <x:c r="E144" s="28" t="str">
        <x:f>IF(D144="","",TRIM(SUBSTITUTE(SUBSTITUTE(SUBSTITUTE(SUBSTITUTE(D144,"AliExpress",""),"aliexpress",""),"ALIEXPRESS",""),"Choice","")))</x:f>
      </x:c>
      <x:c r="F144" s="28"/>
      <x:c r="G144" s="28"/>
      <x:c r="H144" s="28" t="str">
        <x:f>IF(G144="","",HYPERLINK(G144,"Abrir foto"))</x:f>
      </x:c>
      <x:c r="I144" s="28" t="str">
        <x:f>IF(G144="","Sem foto",IF(OR(ISNUMBER(SEARCH("logo",G144)),ISNUMBER(SEARCH("sprite",G144)),ISNUMBER(SEARCH("aliexpress",G144))),"Revisar foto","OK"))</x:f>
        <x:v>Sem foto</x:v>
      </x:c>
      <x:c r="J144" s="28"/>
      <x:c r="K144" s="30"/>
      <x:c r="L144" s="30"/>
      <x:c r="M144" s="30" t="str">
        <x:f>IF(K144="","",K144+IF(L144="",0,L144))</x:f>
      </x:c>
      <x:c r="N144" s="30"/>
      <x:c r="O144" s="30" t="str">
        <x:f>IF(OR(N144="",M144=""),"",N144-M144)</x:f>
      </x:c>
      <x:c r="P144" s="29" t="str">
        <x:f>IF(OR(N144="",O144=""),"",O144/N144)</x:f>
      </x:c>
      <x:c r="Q144" s="28"/>
      <x:c r="R144" s="28"/>
      <x:c r="S144" s="28"/>
      <x:c r="T144" s="28"/>
      <x:c r="U144" s="28"/>
      <x:c r="V144" s="32"/>
      <x:c r="W144" s="28" t="str">
        <x:f>IF(OR(ISNUMBER(SEARCH("aliexpress",D144)),ISNUMBER(SEARCH("aliexpress",X144))),"Revisar mencao","OK")</x:f>
        <x:v>OK</x:v>
      </x:c>
      <x:c r="X144" s="28"/>
    </x:row>
    <x:row r="145">
      <x:c r="A145" s="28"/>
      <x:c r="B145" s="28"/>
      <x:c r="C145" s="28"/>
      <x:c r="D145" s="28"/>
      <x:c r="E145" s="28" t="str">
        <x:f>IF(D145="","",TRIM(SUBSTITUTE(SUBSTITUTE(SUBSTITUTE(SUBSTITUTE(D145,"AliExpress",""),"aliexpress",""),"ALIEXPRESS",""),"Choice","")))</x:f>
      </x:c>
      <x:c r="F145" s="28"/>
      <x:c r="G145" s="28"/>
      <x:c r="H145" s="28" t="str">
        <x:f>IF(G145="","",HYPERLINK(G145,"Abrir foto"))</x:f>
      </x:c>
      <x:c r="I145" s="28" t="str">
        <x:f>IF(G145="","Sem foto",IF(OR(ISNUMBER(SEARCH("logo",G145)),ISNUMBER(SEARCH("sprite",G145)),ISNUMBER(SEARCH("aliexpress",G145))),"Revisar foto","OK"))</x:f>
        <x:v>Sem foto</x:v>
      </x:c>
      <x:c r="J145" s="28"/>
      <x:c r="K145" s="30"/>
      <x:c r="L145" s="30"/>
      <x:c r="M145" s="30" t="str">
        <x:f>IF(K145="","",K145+IF(L145="",0,L145))</x:f>
      </x:c>
      <x:c r="N145" s="30"/>
      <x:c r="O145" s="30" t="str">
        <x:f>IF(OR(N145="",M145=""),"",N145-M145)</x:f>
      </x:c>
      <x:c r="P145" s="29" t="str">
        <x:f>IF(OR(N145="",O145=""),"",O145/N145)</x:f>
      </x:c>
      <x:c r="Q145" s="28"/>
      <x:c r="R145" s="28"/>
      <x:c r="S145" s="28"/>
      <x:c r="T145" s="28"/>
      <x:c r="U145" s="28"/>
      <x:c r="V145" s="32"/>
      <x:c r="W145" s="28" t="str">
        <x:f>IF(OR(ISNUMBER(SEARCH("aliexpress",D145)),ISNUMBER(SEARCH("aliexpress",X145))),"Revisar mencao","OK")</x:f>
        <x:v>OK</x:v>
      </x:c>
      <x:c r="X145" s="28"/>
    </x:row>
    <x:row r="146">
      <x:c r="A146" s="28"/>
      <x:c r="B146" s="28"/>
      <x:c r="C146" s="28"/>
      <x:c r="D146" s="28"/>
      <x:c r="E146" s="28" t="str">
        <x:f>IF(D146="","",TRIM(SUBSTITUTE(SUBSTITUTE(SUBSTITUTE(SUBSTITUTE(D146,"AliExpress",""),"aliexpress",""),"ALIEXPRESS",""),"Choice","")))</x:f>
      </x:c>
      <x:c r="F146" s="28"/>
      <x:c r="G146" s="28"/>
      <x:c r="H146" s="28" t="str">
        <x:f>IF(G146="","",HYPERLINK(G146,"Abrir foto"))</x:f>
      </x:c>
      <x:c r="I146" s="28" t="str">
        <x:f>IF(G146="","Sem foto",IF(OR(ISNUMBER(SEARCH("logo",G146)),ISNUMBER(SEARCH("sprite",G146)),ISNUMBER(SEARCH("aliexpress",G146))),"Revisar foto","OK"))</x:f>
        <x:v>Sem foto</x:v>
      </x:c>
      <x:c r="J146" s="28"/>
      <x:c r="K146" s="30"/>
      <x:c r="L146" s="30"/>
      <x:c r="M146" s="30" t="str">
        <x:f>IF(K146="","",K146+IF(L146="",0,L146))</x:f>
      </x:c>
      <x:c r="N146" s="30"/>
      <x:c r="O146" s="30" t="str">
        <x:f>IF(OR(N146="",M146=""),"",N146-M146)</x:f>
      </x:c>
      <x:c r="P146" s="29" t="str">
        <x:f>IF(OR(N146="",O146=""),"",O146/N146)</x:f>
      </x:c>
      <x:c r="Q146" s="28"/>
      <x:c r="R146" s="28"/>
      <x:c r="S146" s="28"/>
      <x:c r="T146" s="28"/>
      <x:c r="U146" s="28"/>
      <x:c r="V146" s="32"/>
      <x:c r="W146" s="28" t="str">
        <x:f>IF(OR(ISNUMBER(SEARCH("aliexpress",D146)),ISNUMBER(SEARCH("aliexpress",X146))),"Revisar mencao","OK")</x:f>
        <x:v>OK</x:v>
      </x:c>
      <x:c r="X146" s="28"/>
    </x:row>
    <x:row r="147">
      <x:c r="A147" s="28"/>
      <x:c r="B147" s="28"/>
      <x:c r="C147" s="28"/>
      <x:c r="D147" s="28"/>
      <x:c r="E147" s="28" t="str">
        <x:f>IF(D147="","",TRIM(SUBSTITUTE(SUBSTITUTE(SUBSTITUTE(SUBSTITUTE(D147,"AliExpress",""),"aliexpress",""),"ALIEXPRESS",""),"Choice","")))</x:f>
      </x:c>
      <x:c r="F147" s="28"/>
      <x:c r="G147" s="28"/>
      <x:c r="H147" s="28" t="str">
        <x:f>IF(G147="","",HYPERLINK(G147,"Abrir foto"))</x:f>
      </x:c>
      <x:c r="I147" s="28" t="str">
        <x:f>IF(G147="","Sem foto",IF(OR(ISNUMBER(SEARCH("logo",G147)),ISNUMBER(SEARCH("sprite",G147)),ISNUMBER(SEARCH("aliexpress",G147))),"Revisar foto","OK"))</x:f>
        <x:v>Sem foto</x:v>
      </x:c>
      <x:c r="J147" s="28"/>
      <x:c r="K147" s="30"/>
      <x:c r="L147" s="30"/>
      <x:c r="M147" s="30" t="str">
        <x:f>IF(K147="","",K147+IF(L147="",0,L147))</x:f>
      </x:c>
      <x:c r="N147" s="30"/>
      <x:c r="O147" s="30" t="str">
        <x:f>IF(OR(N147="",M147=""),"",N147-M147)</x:f>
      </x:c>
      <x:c r="P147" s="29" t="str">
        <x:f>IF(OR(N147="",O147=""),"",O147/N147)</x:f>
      </x:c>
      <x:c r="Q147" s="28"/>
      <x:c r="R147" s="28"/>
      <x:c r="S147" s="28"/>
      <x:c r="T147" s="28"/>
      <x:c r="U147" s="28"/>
      <x:c r="V147" s="32"/>
      <x:c r="W147" s="28" t="str">
        <x:f>IF(OR(ISNUMBER(SEARCH("aliexpress",D147)),ISNUMBER(SEARCH("aliexpress",X147))),"Revisar mencao","OK")</x:f>
        <x:v>OK</x:v>
      </x:c>
      <x:c r="X147" s="28"/>
    </x:row>
    <x:row r="148">
      <x:c r="A148" s="28"/>
      <x:c r="B148" s="28"/>
      <x:c r="C148" s="28"/>
      <x:c r="D148" s="28"/>
      <x:c r="E148" s="28" t="str">
        <x:f>IF(D148="","",TRIM(SUBSTITUTE(SUBSTITUTE(SUBSTITUTE(SUBSTITUTE(D148,"AliExpress",""),"aliexpress",""),"ALIEXPRESS",""),"Choice","")))</x:f>
      </x:c>
      <x:c r="F148" s="28"/>
      <x:c r="G148" s="28"/>
      <x:c r="H148" s="28" t="str">
        <x:f>IF(G148="","",HYPERLINK(G148,"Abrir foto"))</x:f>
      </x:c>
      <x:c r="I148" s="28" t="str">
        <x:f>IF(G148="","Sem foto",IF(OR(ISNUMBER(SEARCH("logo",G148)),ISNUMBER(SEARCH("sprite",G148)),ISNUMBER(SEARCH("aliexpress",G148))),"Revisar foto","OK"))</x:f>
        <x:v>Sem foto</x:v>
      </x:c>
      <x:c r="J148" s="28"/>
      <x:c r="K148" s="30"/>
      <x:c r="L148" s="30"/>
      <x:c r="M148" s="30" t="str">
        <x:f>IF(K148="","",K148+IF(L148="",0,L148))</x:f>
      </x:c>
      <x:c r="N148" s="30"/>
      <x:c r="O148" s="30" t="str">
        <x:f>IF(OR(N148="",M148=""),"",N148-M148)</x:f>
      </x:c>
      <x:c r="P148" s="29" t="str">
        <x:f>IF(OR(N148="",O148=""),"",O148/N148)</x:f>
      </x:c>
      <x:c r="Q148" s="28"/>
      <x:c r="R148" s="28"/>
      <x:c r="S148" s="28"/>
      <x:c r="T148" s="28"/>
      <x:c r="U148" s="28"/>
      <x:c r="V148" s="32"/>
      <x:c r="W148" s="28" t="str">
        <x:f>IF(OR(ISNUMBER(SEARCH("aliexpress",D148)),ISNUMBER(SEARCH("aliexpress",X148))),"Revisar mencao","OK")</x:f>
        <x:v>OK</x:v>
      </x:c>
      <x:c r="X148" s="28"/>
    </x:row>
    <x:row r="149">
      <x:c r="A149" s="28"/>
      <x:c r="B149" s="28"/>
      <x:c r="C149" s="28"/>
      <x:c r="D149" s="28"/>
      <x:c r="E149" s="28" t="str">
        <x:f>IF(D149="","",TRIM(SUBSTITUTE(SUBSTITUTE(SUBSTITUTE(SUBSTITUTE(D149,"AliExpress",""),"aliexpress",""),"ALIEXPRESS",""),"Choice","")))</x:f>
      </x:c>
      <x:c r="F149" s="28"/>
      <x:c r="G149" s="28"/>
      <x:c r="H149" s="28" t="str">
        <x:f>IF(G149="","",HYPERLINK(G149,"Abrir foto"))</x:f>
      </x:c>
      <x:c r="I149" s="28" t="str">
        <x:f>IF(G149="","Sem foto",IF(OR(ISNUMBER(SEARCH("logo",G149)),ISNUMBER(SEARCH("sprite",G149)),ISNUMBER(SEARCH("aliexpress",G149))),"Revisar foto","OK"))</x:f>
        <x:v>Sem foto</x:v>
      </x:c>
      <x:c r="J149" s="28"/>
      <x:c r="K149" s="30"/>
      <x:c r="L149" s="30"/>
      <x:c r="M149" s="30" t="str">
        <x:f>IF(K149="","",K149+IF(L149="",0,L149))</x:f>
      </x:c>
      <x:c r="N149" s="30"/>
      <x:c r="O149" s="30" t="str">
        <x:f>IF(OR(N149="",M149=""),"",N149-M149)</x:f>
      </x:c>
      <x:c r="P149" s="29" t="str">
        <x:f>IF(OR(N149="",O149=""),"",O149/N149)</x:f>
      </x:c>
      <x:c r="Q149" s="28"/>
      <x:c r="R149" s="28"/>
      <x:c r="S149" s="28"/>
      <x:c r="T149" s="28"/>
      <x:c r="U149" s="28"/>
      <x:c r="V149" s="32"/>
      <x:c r="W149" s="28" t="str">
        <x:f>IF(OR(ISNUMBER(SEARCH("aliexpress",D149)),ISNUMBER(SEARCH("aliexpress",X149))),"Revisar mencao","OK")</x:f>
        <x:v>OK</x:v>
      </x:c>
      <x:c r="X149" s="28"/>
    </x:row>
    <x:row r="150">
      <x:c r="A150" s="28"/>
      <x:c r="B150" s="28"/>
      <x:c r="C150" s="28"/>
      <x:c r="D150" s="28"/>
      <x:c r="E150" s="28" t="str">
        <x:f>IF(D150="","",TRIM(SUBSTITUTE(SUBSTITUTE(SUBSTITUTE(SUBSTITUTE(D150,"AliExpress",""),"aliexpress",""),"ALIEXPRESS",""),"Choice","")))</x:f>
      </x:c>
      <x:c r="F150" s="28"/>
      <x:c r="G150" s="28"/>
      <x:c r="H150" s="28" t="str">
        <x:f>IF(G150="","",HYPERLINK(G150,"Abrir foto"))</x:f>
      </x:c>
      <x:c r="I150" s="28" t="str">
        <x:f>IF(G150="","Sem foto",IF(OR(ISNUMBER(SEARCH("logo",G150)),ISNUMBER(SEARCH("sprite",G150)),ISNUMBER(SEARCH("aliexpress",G150))),"Revisar foto","OK"))</x:f>
        <x:v>Sem foto</x:v>
      </x:c>
      <x:c r="J150" s="28"/>
      <x:c r="K150" s="30"/>
      <x:c r="L150" s="30"/>
      <x:c r="M150" s="30" t="str">
        <x:f>IF(K150="","",K150+IF(L150="",0,L150))</x:f>
      </x:c>
      <x:c r="N150" s="30"/>
      <x:c r="O150" s="30" t="str">
        <x:f>IF(OR(N150="",M150=""),"",N150-M150)</x:f>
      </x:c>
      <x:c r="P150" s="29" t="str">
        <x:f>IF(OR(N150="",O150=""),"",O150/N150)</x:f>
      </x:c>
      <x:c r="Q150" s="28"/>
      <x:c r="R150" s="28"/>
      <x:c r="S150" s="28"/>
      <x:c r="T150" s="28"/>
      <x:c r="U150" s="28"/>
      <x:c r="V150" s="32"/>
      <x:c r="W150" s="28" t="str">
        <x:f>IF(OR(ISNUMBER(SEARCH("aliexpress",D150)),ISNUMBER(SEARCH("aliexpress",X150))),"Revisar mencao","OK")</x:f>
        <x:v>OK</x:v>
      </x:c>
      <x:c r="X150" s="28"/>
    </x:row>
    <x:row r="151">
      <x:c r="A151" s="28"/>
      <x:c r="B151" s="28"/>
      <x:c r="C151" s="28"/>
      <x:c r="D151" s="28"/>
      <x:c r="E151" s="28" t="str">
        <x:f>IF(D151="","",TRIM(SUBSTITUTE(SUBSTITUTE(SUBSTITUTE(SUBSTITUTE(D151,"AliExpress",""),"aliexpress",""),"ALIEXPRESS",""),"Choice","")))</x:f>
      </x:c>
      <x:c r="F151" s="28"/>
      <x:c r="G151" s="28"/>
      <x:c r="H151" s="28" t="str">
        <x:f>IF(G151="","",HYPERLINK(G151,"Abrir foto"))</x:f>
      </x:c>
      <x:c r="I151" s="28" t="str">
        <x:f>IF(G151="","Sem foto",IF(OR(ISNUMBER(SEARCH("logo",G151)),ISNUMBER(SEARCH("sprite",G151)),ISNUMBER(SEARCH("aliexpress",G151))),"Revisar foto","OK"))</x:f>
        <x:v>Sem foto</x:v>
      </x:c>
      <x:c r="J151" s="28"/>
      <x:c r="K151" s="30"/>
      <x:c r="L151" s="30"/>
      <x:c r="M151" s="30" t="str">
        <x:f>IF(K151="","",K151+IF(L151="",0,L151))</x:f>
      </x:c>
      <x:c r="N151" s="30"/>
      <x:c r="O151" s="30" t="str">
        <x:f>IF(OR(N151="",M151=""),"",N151-M151)</x:f>
      </x:c>
      <x:c r="P151" s="29" t="str">
        <x:f>IF(OR(N151="",O151=""),"",O151/N151)</x:f>
      </x:c>
      <x:c r="Q151" s="28"/>
      <x:c r="R151" s="28"/>
      <x:c r="S151" s="28"/>
      <x:c r="T151" s="28"/>
      <x:c r="U151" s="28"/>
      <x:c r="V151" s="32"/>
      <x:c r="W151" s="28" t="str">
        <x:f>IF(OR(ISNUMBER(SEARCH("aliexpress",D151)),ISNUMBER(SEARCH("aliexpress",X151))),"Revisar mencao","OK")</x:f>
        <x:v>OK</x:v>
      </x:c>
      <x:c r="X151" s="28"/>
    </x:row>
    <x:row r="152">
      <x:c r="A152" s="28"/>
      <x:c r="B152" s="28"/>
      <x:c r="C152" s="28"/>
      <x:c r="D152" s="28"/>
      <x:c r="E152" s="28" t="str">
        <x:f>IF(D152="","",TRIM(SUBSTITUTE(SUBSTITUTE(SUBSTITUTE(SUBSTITUTE(D152,"AliExpress",""),"aliexpress",""),"ALIEXPRESS",""),"Choice","")))</x:f>
      </x:c>
      <x:c r="F152" s="28"/>
      <x:c r="G152" s="28"/>
      <x:c r="H152" s="28" t="str">
        <x:f>IF(G152="","",HYPERLINK(G152,"Abrir foto"))</x:f>
      </x:c>
      <x:c r="I152" s="28" t="str">
        <x:f>IF(G152="","Sem foto",IF(OR(ISNUMBER(SEARCH("logo",G152)),ISNUMBER(SEARCH("sprite",G152)),ISNUMBER(SEARCH("aliexpress",G152))),"Revisar foto","OK"))</x:f>
        <x:v>Sem foto</x:v>
      </x:c>
      <x:c r="J152" s="28"/>
      <x:c r="K152" s="30"/>
      <x:c r="L152" s="30"/>
      <x:c r="M152" s="30" t="str">
        <x:f>IF(K152="","",K152+IF(L152="",0,L152))</x:f>
      </x:c>
      <x:c r="N152" s="30"/>
      <x:c r="O152" s="30" t="str">
        <x:f>IF(OR(N152="",M152=""),"",N152-M152)</x:f>
      </x:c>
      <x:c r="P152" s="29" t="str">
        <x:f>IF(OR(N152="",O152=""),"",O152/N152)</x:f>
      </x:c>
      <x:c r="Q152" s="28"/>
      <x:c r="R152" s="28"/>
      <x:c r="S152" s="28"/>
      <x:c r="T152" s="28"/>
      <x:c r="U152" s="28"/>
      <x:c r="V152" s="32"/>
      <x:c r="W152" s="28" t="str">
        <x:f>IF(OR(ISNUMBER(SEARCH("aliexpress",D152)),ISNUMBER(SEARCH("aliexpress",X152))),"Revisar mencao","OK")</x:f>
        <x:v>OK</x:v>
      </x:c>
      <x:c r="X152" s="28"/>
    </x:row>
    <x:row r="153">
      <x:c r="A153" s="28"/>
      <x:c r="B153" s="28"/>
      <x:c r="C153" s="28"/>
      <x:c r="D153" s="28"/>
      <x:c r="E153" s="28" t="str">
        <x:f>IF(D153="","",TRIM(SUBSTITUTE(SUBSTITUTE(SUBSTITUTE(SUBSTITUTE(D153,"AliExpress",""),"aliexpress",""),"ALIEXPRESS",""),"Choice","")))</x:f>
      </x:c>
      <x:c r="F153" s="28"/>
      <x:c r="G153" s="28"/>
      <x:c r="H153" s="28" t="str">
        <x:f>IF(G153="","",HYPERLINK(G153,"Abrir foto"))</x:f>
      </x:c>
      <x:c r="I153" s="28" t="str">
        <x:f>IF(G153="","Sem foto",IF(OR(ISNUMBER(SEARCH("logo",G153)),ISNUMBER(SEARCH("sprite",G153)),ISNUMBER(SEARCH("aliexpress",G153))),"Revisar foto","OK"))</x:f>
        <x:v>Sem foto</x:v>
      </x:c>
      <x:c r="J153" s="28"/>
      <x:c r="K153" s="30"/>
      <x:c r="L153" s="30"/>
      <x:c r="M153" s="30" t="str">
        <x:f>IF(K153="","",K153+IF(L153="",0,L153))</x:f>
      </x:c>
      <x:c r="N153" s="30"/>
      <x:c r="O153" s="30" t="str">
        <x:f>IF(OR(N153="",M153=""),"",N153-M153)</x:f>
      </x:c>
      <x:c r="P153" s="29" t="str">
        <x:f>IF(OR(N153="",O153=""),"",O153/N153)</x:f>
      </x:c>
      <x:c r="Q153" s="28"/>
      <x:c r="R153" s="28"/>
      <x:c r="S153" s="28"/>
      <x:c r="T153" s="28"/>
      <x:c r="U153" s="28"/>
      <x:c r="V153" s="32"/>
      <x:c r="W153" s="28" t="str">
        <x:f>IF(OR(ISNUMBER(SEARCH("aliexpress",D153)),ISNUMBER(SEARCH("aliexpress",X153))),"Revisar mencao","OK")</x:f>
        <x:v>OK</x:v>
      </x:c>
      <x:c r="X153" s="28"/>
    </x:row>
    <x:row r="154">
      <x:c r="A154" s="28"/>
      <x:c r="B154" s="28"/>
      <x:c r="C154" s="28"/>
      <x:c r="D154" s="28"/>
      <x:c r="E154" s="28" t="str">
        <x:f>IF(D154="","",TRIM(SUBSTITUTE(SUBSTITUTE(SUBSTITUTE(SUBSTITUTE(D154,"AliExpress",""),"aliexpress",""),"ALIEXPRESS",""),"Choice","")))</x:f>
      </x:c>
      <x:c r="F154" s="28"/>
      <x:c r="G154" s="28"/>
      <x:c r="H154" s="28" t="str">
        <x:f>IF(G154="","",HYPERLINK(G154,"Abrir foto"))</x:f>
      </x:c>
      <x:c r="I154" s="28" t="str">
        <x:f>IF(G154="","Sem foto",IF(OR(ISNUMBER(SEARCH("logo",G154)),ISNUMBER(SEARCH("sprite",G154)),ISNUMBER(SEARCH("aliexpress",G154))),"Revisar foto","OK"))</x:f>
        <x:v>Sem foto</x:v>
      </x:c>
      <x:c r="J154" s="28"/>
      <x:c r="K154" s="30"/>
      <x:c r="L154" s="30"/>
      <x:c r="M154" s="30" t="str">
        <x:f>IF(K154="","",K154+IF(L154="",0,L154))</x:f>
      </x:c>
      <x:c r="N154" s="30"/>
      <x:c r="O154" s="30" t="str">
        <x:f>IF(OR(N154="",M154=""),"",N154-M154)</x:f>
      </x:c>
      <x:c r="P154" s="29" t="str">
        <x:f>IF(OR(N154="",O154=""),"",O154/N154)</x:f>
      </x:c>
      <x:c r="Q154" s="28"/>
      <x:c r="R154" s="28"/>
      <x:c r="S154" s="28"/>
      <x:c r="T154" s="28"/>
      <x:c r="U154" s="28"/>
      <x:c r="V154" s="32"/>
      <x:c r="W154" s="28" t="str">
        <x:f>IF(OR(ISNUMBER(SEARCH("aliexpress",D154)),ISNUMBER(SEARCH("aliexpress",X154))),"Revisar mencao","OK")</x:f>
        <x:v>OK</x:v>
      </x:c>
      <x:c r="X154" s="28"/>
    </x:row>
    <x:row r="155">
      <x:c r="A155" s="28"/>
      <x:c r="B155" s="28"/>
      <x:c r="C155" s="28"/>
      <x:c r="D155" s="28"/>
      <x:c r="E155" s="28" t="str">
        <x:f>IF(D155="","",TRIM(SUBSTITUTE(SUBSTITUTE(SUBSTITUTE(SUBSTITUTE(D155,"AliExpress",""),"aliexpress",""),"ALIEXPRESS",""),"Choice","")))</x:f>
      </x:c>
      <x:c r="F155" s="28"/>
      <x:c r="G155" s="28"/>
      <x:c r="H155" s="28" t="str">
        <x:f>IF(G155="","",HYPERLINK(G155,"Abrir foto"))</x:f>
      </x:c>
      <x:c r="I155" s="28" t="str">
        <x:f>IF(G155="","Sem foto",IF(OR(ISNUMBER(SEARCH("logo",G155)),ISNUMBER(SEARCH("sprite",G155)),ISNUMBER(SEARCH("aliexpress",G155))),"Revisar foto","OK"))</x:f>
        <x:v>Sem foto</x:v>
      </x:c>
      <x:c r="J155" s="28"/>
      <x:c r="K155" s="30"/>
      <x:c r="L155" s="30"/>
      <x:c r="M155" s="30" t="str">
        <x:f>IF(K155="","",K155+IF(L155="",0,L155))</x:f>
      </x:c>
      <x:c r="N155" s="30"/>
      <x:c r="O155" s="30" t="str">
        <x:f>IF(OR(N155="",M155=""),"",N155-M155)</x:f>
      </x:c>
      <x:c r="P155" s="29" t="str">
        <x:f>IF(OR(N155="",O155=""),"",O155/N155)</x:f>
      </x:c>
      <x:c r="Q155" s="28"/>
      <x:c r="R155" s="28"/>
      <x:c r="S155" s="28"/>
      <x:c r="T155" s="28"/>
      <x:c r="U155" s="28"/>
      <x:c r="V155" s="32"/>
      <x:c r="W155" s="28" t="str">
        <x:f>IF(OR(ISNUMBER(SEARCH("aliexpress",D155)),ISNUMBER(SEARCH("aliexpress",X155))),"Revisar mencao","OK")</x:f>
        <x:v>OK</x:v>
      </x:c>
      <x:c r="X155" s="28"/>
    </x:row>
    <x:row r="156">
      <x:c r="A156" s="28"/>
      <x:c r="B156" s="28"/>
      <x:c r="C156" s="28"/>
      <x:c r="D156" s="28"/>
      <x:c r="E156" s="28" t="str">
        <x:f>IF(D156="","",TRIM(SUBSTITUTE(SUBSTITUTE(SUBSTITUTE(SUBSTITUTE(D156,"AliExpress",""),"aliexpress",""),"ALIEXPRESS",""),"Choice","")))</x:f>
      </x:c>
      <x:c r="F156" s="28"/>
      <x:c r="G156" s="28"/>
      <x:c r="H156" s="28" t="str">
        <x:f>IF(G156="","",HYPERLINK(G156,"Abrir foto"))</x:f>
      </x:c>
      <x:c r="I156" s="28" t="str">
        <x:f>IF(G156="","Sem foto",IF(OR(ISNUMBER(SEARCH("logo",G156)),ISNUMBER(SEARCH("sprite",G156)),ISNUMBER(SEARCH("aliexpress",G156))),"Revisar foto","OK"))</x:f>
        <x:v>Sem foto</x:v>
      </x:c>
      <x:c r="J156" s="28"/>
      <x:c r="K156" s="30"/>
      <x:c r="L156" s="30"/>
      <x:c r="M156" s="30" t="str">
        <x:f>IF(K156="","",K156+IF(L156="",0,L156))</x:f>
      </x:c>
      <x:c r="N156" s="30"/>
      <x:c r="O156" s="30" t="str">
        <x:f>IF(OR(N156="",M156=""),"",N156-M156)</x:f>
      </x:c>
      <x:c r="P156" s="29" t="str">
        <x:f>IF(OR(N156="",O156=""),"",O156/N156)</x:f>
      </x:c>
      <x:c r="Q156" s="28"/>
      <x:c r="R156" s="28"/>
      <x:c r="S156" s="28"/>
      <x:c r="T156" s="28"/>
      <x:c r="U156" s="28"/>
      <x:c r="V156" s="32"/>
      <x:c r="W156" s="28" t="str">
        <x:f>IF(OR(ISNUMBER(SEARCH("aliexpress",D156)),ISNUMBER(SEARCH("aliexpress",X156))),"Revisar mencao","OK")</x:f>
        <x:v>OK</x:v>
      </x:c>
      <x:c r="X156" s="28"/>
    </x:row>
    <x:row r="157">
      <x:c r="A157" s="28"/>
      <x:c r="B157" s="28"/>
      <x:c r="C157" s="28"/>
      <x:c r="D157" s="28"/>
      <x:c r="E157" s="28" t="str">
        <x:f>IF(D157="","",TRIM(SUBSTITUTE(SUBSTITUTE(SUBSTITUTE(SUBSTITUTE(D157,"AliExpress",""),"aliexpress",""),"ALIEXPRESS",""),"Choice","")))</x:f>
      </x:c>
      <x:c r="F157" s="28"/>
      <x:c r="G157" s="28"/>
      <x:c r="H157" s="28" t="str">
        <x:f>IF(G157="","",HYPERLINK(G157,"Abrir foto"))</x:f>
      </x:c>
      <x:c r="I157" s="28" t="str">
        <x:f>IF(G157="","Sem foto",IF(OR(ISNUMBER(SEARCH("logo",G157)),ISNUMBER(SEARCH("sprite",G157)),ISNUMBER(SEARCH("aliexpress",G157))),"Revisar foto","OK"))</x:f>
        <x:v>Sem foto</x:v>
      </x:c>
      <x:c r="J157" s="28"/>
      <x:c r="K157" s="30"/>
      <x:c r="L157" s="30"/>
      <x:c r="M157" s="30" t="str">
        <x:f>IF(K157="","",K157+IF(L157="",0,L157))</x:f>
      </x:c>
      <x:c r="N157" s="30"/>
      <x:c r="O157" s="30" t="str">
        <x:f>IF(OR(N157="",M157=""),"",N157-M157)</x:f>
      </x:c>
      <x:c r="P157" s="29" t="str">
        <x:f>IF(OR(N157="",O157=""),"",O157/N157)</x:f>
      </x:c>
      <x:c r="Q157" s="28"/>
      <x:c r="R157" s="28"/>
      <x:c r="S157" s="28"/>
      <x:c r="T157" s="28"/>
      <x:c r="U157" s="28"/>
      <x:c r="V157" s="32"/>
      <x:c r="W157" s="28" t="str">
        <x:f>IF(OR(ISNUMBER(SEARCH("aliexpress",D157)),ISNUMBER(SEARCH("aliexpress",X157))),"Revisar mencao","OK")</x:f>
        <x:v>OK</x:v>
      </x:c>
      <x:c r="X157" s="28"/>
    </x:row>
    <x:row r="158">
      <x:c r="A158" s="28"/>
      <x:c r="B158" s="28"/>
      <x:c r="C158" s="28"/>
      <x:c r="D158" s="28"/>
      <x:c r="E158" s="28" t="str">
        <x:f>IF(D158="","",TRIM(SUBSTITUTE(SUBSTITUTE(SUBSTITUTE(SUBSTITUTE(D158,"AliExpress",""),"aliexpress",""),"ALIEXPRESS",""),"Choice","")))</x:f>
      </x:c>
      <x:c r="F158" s="28"/>
      <x:c r="G158" s="28"/>
      <x:c r="H158" s="28" t="str">
        <x:f>IF(G158="","",HYPERLINK(G158,"Abrir foto"))</x:f>
      </x:c>
      <x:c r="I158" s="28" t="str">
        <x:f>IF(G158="","Sem foto",IF(OR(ISNUMBER(SEARCH("logo",G158)),ISNUMBER(SEARCH("sprite",G158)),ISNUMBER(SEARCH("aliexpress",G158))),"Revisar foto","OK"))</x:f>
        <x:v>Sem foto</x:v>
      </x:c>
      <x:c r="J158" s="28"/>
      <x:c r="K158" s="30"/>
      <x:c r="L158" s="30"/>
      <x:c r="M158" s="30" t="str">
        <x:f>IF(K158="","",K158+IF(L158="",0,L158))</x:f>
      </x:c>
      <x:c r="N158" s="30"/>
      <x:c r="O158" s="30" t="str">
        <x:f>IF(OR(N158="",M158=""),"",N158-M158)</x:f>
      </x:c>
      <x:c r="P158" s="29" t="str">
        <x:f>IF(OR(N158="",O158=""),"",O158/N158)</x:f>
      </x:c>
      <x:c r="Q158" s="28"/>
      <x:c r="R158" s="28"/>
      <x:c r="S158" s="28"/>
      <x:c r="T158" s="28"/>
      <x:c r="U158" s="28"/>
      <x:c r="V158" s="32"/>
      <x:c r="W158" s="28" t="str">
        <x:f>IF(OR(ISNUMBER(SEARCH("aliexpress",D158)),ISNUMBER(SEARCH("aliexpress",X158))),"Revisar mencao","OK")</x:f>
        <x:v>OK</x:v>
      </x:c>
      <x:c r="X158" s="28"/>
    </x:row>
    <x:row r="159">
      <x:c r="A159" s="28"/>
      <x:c r="B159" s="28"/>
      <x:c r="C159" s="28"/>
      <x:c r="D159" s="28"/>
      <x:c r="E159" s="28" t="str">
        <x:f>IF(D159="","",TRIM(SUBSTITUTE(SUBSTITUTE(SUBSTITUTE(SUBSTITUTE(D159,"AliExpress",""),"aliexpress",""),"ALIEXPRESS",""),"Choice","")))</x:f>
      </x:c>
      <x:c r="F159" s="28"/>
      <x:c r="G159" s="28"/>
      <x:c r="H159" s="28" t="str">
        <x:f>IF(G159="","",HYPERLINK(G159,"Abrir foto"))</x:f>
      </x:c>
      <x:c r="I159" s="28" t="str">
        <x:f>IF(G159="","Sem foto",IF(OR(ISNUMBER(SEARCH("logo",G159)),ISNUMBER(SEARCH("sprite",G159)),ISNUMBER(SEARCH("aliexpress",G159))),"Revisar foto","OK"))</x:f>
        <x:v>Sem foto</x:v>
      </x:c>
      <x:c r="J159" s="28"/>
      <x:c r="K159" s="30"/>
      <x:c r="L159" s="30"/>
      <x:c r="M159" s="30" t="str">
        <x:f>IF(K159="","",K159+IF(L159="",0,L159))</x:f>
      </x:c>
      <x:c r="N159" s="30"/>
      <x:c r="O159" s="30" t="str">
        <x:f>IF(OR(N159="",M159=""),"",N159-M159)</x:f>
      </x:c>
      <x:c r="P159" s="29" t="str">
        <x:f>IF(OR(N159="",O159=""),"",O159/N159)</x:f>
      </x:c>
      <x:c r="Q159" s="28"/>
      <x:c r="R159" s="28"/>
      <x:c r="S159" s="28"/>
      <x:c r="T159" s="28"/>
      <x:c r="U159" s="28"/>
      <x:c r="V159" s="32"/>
      <x:c r="W159" s="28" t="str">
        <x:f>IF(OR(ISNUMBER(SEARCH("aliexpress",D159)),ISNUMBER(SEARCH("aliexpress",X159))),"Revisar mencao","OK")</x:f>
        <x:v>OK</x:v>
      </x:c>
      <x:c r="X159" s="28"/>
    </x:row>
    <x:row r="160">
      <x:c r="A160" s="28"/>
      <x:c r="B160" s="28"/>
      <x:c r="C160" s="28"/>
      <x:c r="D160" s="28"/>
      <x:c r="E160" s="28" t="str">
        <x:f>IF(D160="","",TRIM(SUBSTITUTE(SUBSTITUTE(SUBSTITUTE(SUBSTITUTE(D160,"AliExpress",""),"aliexpress",""),"ALIEXPRESS",""),"Choice","")))</x:f>
      </x:c>
      <x:c r="F160" s="28"/>
      <x:c r="G160" s="28"/>
      <x:c r="H160" s="28" t="str">
        <x:f>IF(G160="","",HYPERLINK(G160,"Abrir foto"))</x:f>
      </x:c>
      <x:c r="I160" s="28" t="str">
        <x:f>IF(G160="","Sem foto",IF(OR(ISNUMBER(SEARCH("logo",G160)),ISNUMBER(SEARCH("sprite",G160)),ISNUMBER(SEARCH("aliexpress",G160))),"Revisar foto","OK"))</x:f>
        <x:v>Sem foto</x:v>
      </x:c>
      <x:c r="J160" s="28"/>
      <x:c r="K160" s="30"/>
      <x:c r="L160" s="30"/>
      <x:c r="M160" s="30" t="str">
        <x:f>IF(K160="","",K160+IF(L160="",0,L160))</x:f>
      </x:c>
      <x:c r="N160" s="30"/>
      <x:c r="O160" s="30" t="str">
        <x:f>IF(OR(N160="",M160=""),"",N160-M160)</x:f>
      </x:c>
      <x:c r="P160" s="29" t="str">
        <x:f>IF(OR(N160="",O160=""),"",O160/N160)</x:f>
      </x:c>
      <x:c r="Q160" s="28"/>
      <x:c r="R160" s="28"/>
      <x:c r="S160" s="28"/>
      <x:c r="T160" s="28"/>
      <x:c r="U160" s="28"/>
      <x:c r="V160" s="32"/>
      <x:c r="W160" s="28" t="str">
        <x:f>IF(OR(ISNUMBER(SEARCH("aliexpress",D160)),ISNUMBER(SEARCH("aliexpress",X160))),"Revisar mencao","OK")</x:f>
        <x:v>OK</x:v>
      </x:c>
      <x:c r="X160" s="28"/>
    </x:row>
    <x:row r="161">
      <x:c r="A161" s="28"/>
      <x:c r="B161" s="28"/>
      <x:c r="C161" s="28"/>
      <x:c r="D161" s="28"/>
      <x:c r="E161" s="28" t="str">
        <x:f>IF(D161="","",TRIM(SUBSTITUTE(SUBSTITUTE(SUBSTITUTE(SUBSTITUTE(D161,"AliExpress",""),"aliexpress",""),"ALIEXPRESS",""),"Choice","")))</x:f>
      </x:c>
      <x:c r="F161" s="28"/>
      <x:c r="G161" s="28"/>
      <x:c r="H161" s="28" t="str">
        <x:f>IF(G161="","",HYPERLINK(G161,"Abrir foto"))</x:f>
      </x:c>
      <x:c r="I161" s="28" t="str">
        <x:f>IF(G161="","Sem foto",IF(OR(ISNUMBER(SEARCH("logo",G161)),ISNUMBER(SEARCH("sprite",G161)),ISNUMBER(SEARCH("aliexpress",G161))),"Revisar foto","OK"))</x:f>
        <x:v>Sem foto</x:v>
      </x:c>
      <x:c r="J161" s="28"/>
      <x:c r="K161" s="30"/>
      <x:c r="L161" s="30"/>
      <x:c r="M161" s="30" t="str">
        <x:f>IF(K161="","",K161+IF(L161="",0,L161))</x:f>
      </x:c>
      <x:c r="N161" s="30"/>
      <x:c r="O161" s="30" t="str">
        <x:f>IF(OR(N161="",M161=""),"",N161-M161)</x:f>
      </x:c>
      <x:c r="P161" s="29" t="str">
        <x:f>IF(OR(N161="",O161=""),"",O161/N161)</x:f>
      </x:c>
      <x:c r="Q161" s="28"/>
      <x:c r="R161" s="28"/>
      <x:c r="S161" s="28"/>
      <x:c r="T161" s="28"/>
      <x:c r="U161" s="28"/>
      <x:c r="V161" s="32"/>
      <x:c r="W161" s="28" t="str">
        <x:f>IF(OR(ISNUMBER(SEARCH("aliexpress",D161)),ISNUMBER(SEARCH("aliexpress",X161))),"Revisar mencao","OK")</x:f>
        <x:v>OK</x:v>
      </x:c>
      <x:c r="X161" s="28"/>
    </x:row>
    <x:row r="162">
      <x:c r="A162" s="28"/>
      <x:c r="B162" s="28"/>
      <x:c r="C162" s="28"/>
      <x:c r="D162" s="28"/>
      <x:c r="E162" s="28" t="str">
        <x:f>IF(D162="","",TRIM(SUBSTITUTE(SUBSTITUTE(SUBSTITUTE(SUBSTITUTE(D162,"AliExpress",""),"aliexpress",""),"ALIEXPRESS",""),"Choice","")))</x:f>
      </x:c>
      <x:c r="F162" s="28"/>
      <x:c r="G162" s="28"/>
      <x:c r="H162" s="28" t="str">
        <x:f>IF(G162="","",HYPERLINK(G162,"Abrir foto"))</x:f>
      </x:c>
      <x:c r="I162" s="28" t="str">
        <x:f>IF(G162="","Sem foto",IF(OR(ISNUMBER(SEARCH("logo",G162)),ISNUMBER(SEARCH("sprite",G162)),ISNUMBER(SEARCH("aliexpress",G162))),"Revisar foto","OK"))</x:f>
        <x:v>Sem foto</x:v>
      </x:c>
      <x:c r="J162" s="28"/>
      <x:c r="K162" s="30"/>
      <x:c r="L162" s="30"/>
      <x:c r="M162" s="30" t="str">
        <x:f>IF(K162="","",K162+IF(L162="",0,L162))</x:f>
      </x:c>
      <x:c r="N162" s="30"/>
      <x:c r="O162" s="30" t="str">
        <x:f>IF(OR(N162="",M162=""),"",N162-M162)</x:f>
      </x:c>
      <x:c r="P162" s="29" t="str">
        <x:f>IF(OR(N162="",O162=""),"",O162/N162)</x:f>
      </x:c>
      <x:c r="Q162" s="28"/>
      <x:c r="R162" s="28"/>
      <x:c r="S162" s="28"/>
      <x:c r="T162" s="28"/>
      <x:c r="U162" s="28"/>
      <x:c r="V162" s="32"/>
      <x:c r="W162" s="28" t="str">
        <x:f>IF(OR(ISNUMBER(SEARCH("aliexpress",D162)),ISNUMBER(SEARCH("aliexpress",X162))),"Revisar mencao","OK")</x:f>
        <x:v>OK</x:v>
      </x:c>
      <x:c r="X162" s="28"/>
    </x:row>
    <x:row r="163">
      <x:c r="A163" s="28"/>
      <x:c r="B163" s="28"/>
      <x:c r="C163" s="28"/>
      <x:c r="D163" s="28"/>
      <x:c r="E163" s="28" t="str">
        <x:f>IF(D163="","",TRIM(SUBSTITUTE(SUBSTITUTE(SUBSTITUTE(SUBSTITUTE(D163,"AliExpress",""),"aliexpress",""),"ALIEXPRESS",""),"Choice","")))</x:f>
      </x:c>
      <x:c r="F163" s="28"/>
      <x:c r="G163" s="28"/>
      <x:c r="H163" s="28" t="str">
        <x:f>IF(G163="","",HYPERLINK(G163,"Abrir foto"))</x:f>
      </x:c>
      <x:c r="I163" s="28" t="str">
        <x:f>IF(G163="","Sem foto",IF(OR(ISNUMBER(SEARCH("logo",G163)),ISNUMBER(SEARCH("sprite",G163)),ISNUMBER(SEARCH("aliexpress",G163))),"Revisar foto","OK"))</x:f>
        <x:v>Sem foto</x:v>
      </x:c>
      <x:c r="J163" s="28"/>
      <x:c r="K163" s="30"/>
      <x:c r="L163" s="30"/>
      <x:c r="M163" s="30" t="str">
        <x:f>IF(K163="","",K163+IF(L163="",0,L163))</x:f>
      </x:c>
      <x:c r="N163" s="30"/>
      <x:c r="O163" s="30" t="str">
        <x:f>IF(OR(N163="",M163=""),"",N163-M163)</x:f>
      </x:c>
      <x:c r="P163" s="29" t="str">
        <x:f>IF(OR(N163="",O163=""),"",O163/N163)</x:f>
      </x:c>
      <x:c r="Q163" s="28"/>
      <x:c r="R163" s="28"/>
      <x:c r="S163" s="28"/>
      <x:c r="T163" s="28"/>
      <x:c r="U163" s="28"/>
      <x:c r="V163" s="32"/>
      <x:c r="W163" s="28" t="str">
        <x:f>IF(OR(ISNUMBER(SEARCH("aliexpress",D163)),ISNUMBER(SEARCH("aliexpress",X163))),"Revisar mencao","OK")</x:f>
        <x:v>OK</x:v>
      </x:c>
      <x:c r="X163" s="28"/>
    </x:row>
    <x:row r="164">
      <x:c r="A164" s="28"/>
      <x:c r="B164" s="28"/>
      <x:c r="C164" s="28"/>
      <x:c r="D164" s="28"/>
      <x:c r="E164" s="28" t="str">
        <x:f>IF(D164="","",TRIM(SUBSTITUTE(SUBSTITUTE(SUBSTITUTE(SUBSTITUTE(D164,"AliExpress",""),"aliexpress",""),"ALIEXPRESS",""),"Choice","")))</x:f>
      </x:c>
      <x:c r="F164" s="28"/>
      <x:c r="G164" s="28"/>
      <x:c r="H164" s="28" t="str">
        <x:f>IF(G164="","",HYPERLINK(G164,"Abrir foto"))</x:f>
      </x:c>
      <x:c r="I164" s="28" t="str">
        <x:f>IF(G164="","Sem foto",IF(OR(ISNUMBER(SEARCH("logo",G164)),ISNUMBER(SEARCH("sprite",G164)),ISNUMBER(SEARCH("aliexpress",G164))),"Revisar foto","OK"))</x:f>
        <x:v>Sem foto</x:v>
      </x:c>
      <x:c r="J164" s="28"/>
      <x:c r="K164" s="30"/>
      <x:c r="L164" s="30"/>
      <x:c r="M164" s="30" t="str">
        <x:f>IF(K164="","",K164+IF(L164="",0,L164))</x:f>
      </x:c>
      <x:c r="N164" s="30"/>
      <x:c r="O164" s="30" t="str">
        <x:f>IF(OR(N164="",M164=""),"",N164-M164)</x:f>
      </x:c>
      <x:c r="P164" s="29" t="str">
        <x:f>IF(OR(N164="",O164=""),"",O164/N164)</x:f>
      </x:c>
      <x:c r="Q164" s="28"/>
      <x:c r="R164" s="28"/>
      <x:c r="S164" s="28"/>
      <x:c r="T164" s="28"/>
      <x:c r="U164" s="28"/>
      <x:c r="V164" s="32"/>
      <x:c r="W164" s="28" t="str">
        <x:f>IF(OR(ISNUMBER(SEARCH("aliexpress",D164)),ISNUMBER(SEARCH("aliexpress",X164))),"Revisar mencao","OK")</x:f>
        <x:v>OK</x:v>
      </x:c>
      <x:c r="X164" s="28"/>
    </x:row>
    <x:row r="165">
      <x:c r="A165" s="28"/>
      <x:c r="B165" s="28"/>
      <x:c r="C165" s="28"/>
      <x:c r="D165" s="28"/>
      <x:c r="E165" s="28" t="str">
        <x:f>IF(D165="","",TRIM(SUBSTITUTE(SUBSTITUTE(SUBSTITUTE(SUBSTITUTE(D165,"AliExpress",""),"aliexpress",""),"ALIEXPRESS",""),"Choice","")))</x:f>
      </x:c>
      <x:c r="F165" s="28"/>
      <x:c r="G165" s="28"/>
      <x:c r="H165" s="28" t="str">
        <x:f>IF(G165="","",HYPERLINK(G165,"Abrir foto"))</x:f>
      </x:c>
      <x:c r="I165" s="28" t="str">
        <x:f>IF(G165="","Sem foto",IF(OR(ISNUMBER(SEARCH("logo",G165)),ISNUMBER(SEARCH("sprite",G165)),ISNUMBER(SEARCH("aliexpress",G165))),"Revisar foto","OK"))</x:f>
        <x:v>Sem foto</x:v>
      </x:c>
      <x:c r="J165" s="28"/>
      <x:c r="K165" s="30"/>
      <x:c r="L165" s="30"/>
      <x:c r="M165" s="30" t="str">
        <x:f>IF(K165="","",K165+IF(L165="",0,L165))</x:f>
      </x:c>
      <x:c r="N165" s="30"/>
      <x:c r="O165" s="30" t="str">
        <x:f>IF(OR(N165="",M165=""),"",N165-M165)</x:f>
      </x:c>
      <x:c r="P165" s="29" t="str">
        <x:f>IF(OR(N165="",O165=""),"",O165/N165)</x:f>
      </x:c>
      <x:c r="Q165" s="28"/>
      <x:c r="R165" s="28"/>
      <x:c r="S165" s="28"/>
      <x:c r="T165" s="28"/>
      <x:c r="U165" s="28"/>
      <x:c r="V165" s="32"/>
      <x:c r="W165" s="28" t="str">
        <x:f>IF(OR(ISNUMBER(SEARCH("aliexpress",D165)),ISNUMBER(SEARCH("aliexpress",X165))),"Revisar mencao","OK")</x:f>
        <x:v>OK</x:v>
      </x:c>
      <x:c r="X165" s="28"/>
    </x:row>
    <x:row r="166">
      <x:c r="A166" s="28"/>
      <x:c r="B166" s="28"/>
      <x:c r="C166" s="28"/>
      <x:c r="D166" s="28"/>
      <x:c r="E166" s="28" t="str">
        <x:f>IF(D166="","",TRIM(SUBSTITUTE(SUBSTITUTE(SUBSTITUTE(SUBSTITUTE(D166,"AliExpress",""),"aliexpress",""),"ALIEXPRESS",""),"Choice","")))</x:f>
      </x:c>
      <x:c r="F166" s="28"/>
      <x:c r="G166" s="28"/>
      <x:c r="H166" s="28" t="str">
        <x:f>IF(G166="","",HYPERLINK(G166,"Abrir foto"))</x:f>
      </x:c>
      <x:c r="I166" s="28" t="str">
        <x:f>IF(G166="","Sem foto",IF(OR(ISNUMBER(SEARCH("logo",G166)),ISNUMBER(SEARCH("sprite",G166)),ISNUMBER(SEARCH("aliexpress",G166))),"Revisar foto","OK"))</x:f>
        <x:v>Sem foto</x:v>
      </x:c>
      <x:c r="J166" s="28"/>
      <x:c r="K166" s="30"/>
      <x:c r="L166" s="30"/>
      <x:c r="M166" s="30" t="str">
        <x:f>IF(K166="","",K166+IF(L166="",0,L166))</x:f>
      </x:c>
      <x:c r="N166" s="30"/>
      <x:c r="O166" s="30" t="str">
        <x:f>IF(OR(N166="",M166=""),"",N166-M166)</x:f>
      </x:c>
      <x:c r="P166" s="29" t="str">
        <x:f>IF(OR(N166="",O166=""),"",O166/N166)</x:f>
      </x:c>
      <x:c r="Q166" s="28"/>
      <x:c r="R166" s="28"/>
      <x:c r="S166" s="28"/>
      <x:c r="T166" s="28"/>
      <x:c r="U166" s="28"/>
      <x:c r="V166" s="32"/>
      <x:c r="W166" s="28" t="str">
        <x:f>IF(OR(ISNUMBER(SEARCH("aliexpress",D166)),ISNUMBER(SEARCH("aliexpress",X166))),"Revisar mencao","OK")</x:f>
        <x:v>OK</x:v>
      </x:c>
      <x:c r="X166" s="28"/>
    </x:row>
    <x:row r="167">
      <x:c r="A167" s="28"/>
      <x:c r="B167" s="28"/>
      <x:c r="C167" s="28"/>
      <x:c r="D167" s="28"/>
      <x:c r="E167" s="28" t="str">
        <x:f>IF(D167="","",TRIM(SUBSTITUTE(SUBSTITUTE(SUBSTITUTE(SUBSTITUTE(D167,"AliExpress",""),"aliexpress",""),"ALIEXPRESS",""),"Choice","")))</x:f>
      </x:c>
      <x:c r="F167" s="28"/>
      <x:c r="G167" s="28"/>
      <x:c r="H167" s="28" t="str">
        <x:f>IF(G167="","",HYPERLINK(G167,"Abrir foto"))</x:f>
      </x:c>
      <x:c r="I167" s="28" t="str">
        <x:f>IF(G167="","Sem foto",IF(OR(ISNUMBER(SEARCH("logo",G167)),ISNUMBER(SEARCH("sprite",G167)),ISNUMBER(SEARCH("aliexpress",G167))),"Revisar foto","OK"))</x:f>
        <x:v>Sem foto</x:v>
      </x:c>
      <x:c r="J167" s="28"/>
      <x:c r="K167" s="30"/>
      <x:c r="L167" s="30"/>
      <x:c r="M167" s="30" t="str">
        <x:f>IF(K167="","",K167+IF(L167="",0,L167))</x:f>
      </x:c>
      <x:c r="N167" s="30"/>
      <x:c r="O167" s="30" t="str">
        <x:f>IF(OR(N167="",M167=""),"",N167-M167)</x:f>
      </x:c>
      <x:c r="P167" s="29" t="str">
        <x:f>IF(OR(N167="",O167=""),"",O167/N167)</x:f>
      </x:c>
      <x:c r="Q167" s="28"/>
      <x:c r="R167" s="28"/>
      <x:c r="S167" s="28"/>
      <x:c r="T167" s="28"/>
      <x:c r="U167" s="28"/>
      <x:c r="V167" s="32"/>
      <x:c r="W167" s="28" t="str">
        <x:f>IF(OR(ISNUMBER(SEARCH("aliexpress",D167)),ISNUMBER(SEARCH("aliexpress",X167))),"Revisar mencao","OK")</x:f>
        <x:v>OK</x:v>
      </x:c>
      <x:c r="X167" s="28"/>
    </x:row>
    <x:row r="168">
      <x:c r="A168" s="28"/>
      <x:c r="B168" s="28"/>
      <x:c r="C168" s="28"/>
      <x:c r="D168" s="28"/>
      <x:c r="E168" s="28" t="str">
        <x:f>IF(D168="","",TRIM(SUBSTITUTE(SUBSTITUTE(SUBSTITUTE(SUBSTITUTE(D168,"AliExpress",""),"aliexpress",""),"ALIEXPRESS",""),"Choice","")))</x:f>
      </x:c>
      <x:c r="F168" s="28"/>
      <x:c r="G168" s="28"/>
      <x:c r="H168" s="28" t="str">
        <x:f>IF(G168="","",HYPERLINK(G168,"Abrir foto"))</x:f>
      </x:c>
      <x:c r="I168" s="28" t="str">
        <x:f>IF(G168="","Sem foto",IF(OR(ISNUMBER(SEARCH("logo",G168)),ISNUMBER(SEARCH("sprite",G168)),ISNUMBER(SEARCH("aliexpress",G168))),"Revisar foto","OK"))</x:f>
        <x:v>Sem foto</x:v>
      </x:c>
      <x:c r="J168" s="28"/>
      <x:c r="K168" s="30"/>
      <x:c r="L168" s="30"/>
      <x:c r="M168" s="30" t="str">
        <x:f>IF(K168="","",K168+IF(L168="",0,L168))</x:f>
      </x:c>
      <x:c r="N168" s="30"/>
      <x:c r="O168" s="30" t="str">
        <x:f>IF(OR(N168="",M168=""),"",N168-M168)</x:f>
      </x:c>
      <x:c r="P168" s="29" t="str">
        <x:f>IF(OR(N168="",O168=""),"",O168/N168)</x:f>
      </x:c>
      <x:c r="Q168" s="28"/>
      <x:c r="R168" s="28"/>
      <x:c r="S168" s="28"/>
      <x:c r="T168" s="28"/>
      <x:c r="U168" s="28"/>
      <x:c r="V168" s="32"/>
      <x:c r="W168" s="28" t="str">
        <x:f>IF(OR(ISNUMBER(SEARCH("aliexpress",D168)),ISNUMBER(SEARCH("aliexpress",X168))),"Revisar mencao","OK")</x:f>
        <x:v>OK</x:v>
      </x:c>
      <x:c r="X168" s="28"/>
    </x:row>
    <x:row r="169">
      <x:c r="A169" s="28"/>
      <x:c r="B169" s="28"/>
      <x:c r="C169" s="28"/>
      <x:c r="D169" s="28"/>
      <x:c r="E169" s="28" t="str">
        <x:f>IF(D169="","",TRIM(SUBSTITUTE(SUBSTITUTE(SUBSTITUTE(SUBSTITUTE(D169,"AliExpress",""),"aliexpress",""),"ALIEXPRESS",""),"Choice","")))</x:f>
      </x:c>
      <x:c r="F169" s="28"/>
      <x:c r="G169" s="28"/>
      <x:c r="H169" s="28" t="str">
        <x:f>IF(G169="","",HYPERLINK(G169,"Abrir foto"))</x:f>
      </x:c>
      <x:c r="I169" s="28" t="str">
        <x:f>IF(G169="","Sem foto",IF(OR(ISNUMBER(SEARCH("logo",G169)),ISNUMBER(SEARCH("sprite",G169)),ISNUMBER(SEARCH("aliexpress",G169))),"Revisar foto","OK"))</x:f>
        <x:v>Sem foto</x:v>
      </x:c>
      <x:c r="J169" s="28"/>
      <x:c r="K169" s="30"/>
      <x:c r="L169" s="30"/>
      <x:c r="M169" s="30" t="str">
        <x:f>IF(K169="","",K169+IF(L169="",0,L169))</x:f>
      </x:c>
      <x:c r="N169" s="30"/>
      <x:c r="O169" s="30" t="str">
        <x:f>IF(OR(N169="",M169=""),"",N169-M169)</x:f>
      </x:c>
      <x:c r="P169" s="29" t="str">
        <x:f>IF(OR(N169="",O169=""),"",O169/N169)</x:f>
      </x:c>
      <x:c r="Q169" s="28"/>
      <x:c r="R169" s="28"/>
      <x:c r="S169" s="28"/>
      <x:c r="T169" s="28"/>
      <x:c r="U169" s="28"/>
      <x:c r="V169" s="32"/>
      <x:c r="W169" s="28" t="str">
        <x:f>IF(OR(ISNUMBER(SEARCH("aliexpress",D169)),ISNUMBER(SEARCH("aliexpress",X169))),"Revisar mencao","OK")</x:f>
        <x:v>OK</x:v>
      </x:c>
      <x:c r="X169" s="28"/>
    </x:row>
    <x:row r="170">
      <x:c r="A170" s="28"/>
      <x:c r="B170" s="28"/>
      <x:c r="C170" s="28"/>
      <x:c r="D170" s="28"/>
      <x:c r="E170" s="28" t="str">
        <x:f>IF(D170="","",TRIM(SUBSTITUTE(SUBSTITUTE(SUBSTITUTE(SUBSTITUTE(D170,"AliExpress",""),"aliexpress",""),"ALIEXPRESS",""),"Choice","")))</x:f>
      </x:c>
      <x:c r="F170" s="28"/>
      <x:c r="G170" s="28"/>
      <x:c r="H170" s="28" t="str">
        <x:f>IF(G170="","",HYPERLINK(G170,"Abrir foto"))</x:f>
      </x:c>
      <x:c r="I170" s="28" t="str">
        <x:f>IF(G170="","Sem foto",IF(OR(ISNUMBER(SEARCH("logo",G170)),ISNUMBER(SEARCH("sprite",G170)),ISNUMBER(SEARCH("aliexpress",G170))),"Revisar foto","OK"))</x:f>
        <x:v>Sem foto</x:v>
      </x:c>
      <x:c r="J170" s="28"/>
      <x:c r="K170" s="30"/>
      <x:c r="L170" s="30"/>
      <x:c r="M170" s="30" t="str">
        <x:f>IF(K170="","",K170+IF(L170="",0,L170))</x:f>
      </x:c>
      <x:c r="N170" s="30"/>
      <x:c r="O170" s="30" t="str">
        <x:f>IF(OR(N170="",M170=""),"",N170-M170)</x:f>
      </x:c>
      <x:c r="P170" s="29" t="str">
        <x:f>IF(OR(N170="",O170=""),"",O170/N170)</x:f>
      </x:c>
      <x:c r="Q170" s="28"/>
      <x:c r="R170" s="28"/>
      <x:c r="S170" s="28"/>
      <x:c r="T170" s="28"/>
      <x:c r="U170" s="28"/>
      <x:c r="V170" s="32"/>
      <x:c r="W170" s="28" t="str">
        <x:f>IF(OR(ISNUMBER(SEARCH("aliexpress",D170)),ISNUMBER(SEARCH("aliexpress",X170))),"Revisar mencao","OK")</x:f>
        <x:v>OK</x:v>
      </x:c>
      <x:c r="X170" s="28"/>
    </x:row>
    <x:row r="171">
      <x:c r="A171" s="28"/>
      <x:c r="B171" s="28"/>
      <x:c r="C171" s="28"/>
      <x:c r="D171" s="28"/>
      <x:c r="E171" s="28" t="str">
        <x:f>IF(D171="","",TRIM(SUBSTITUTE(SUBSTITUTE(SUBSTITUTE(SUBSTITUTE(D171,"AliExpress",""),"aliexpress",""),"ALIEXPRESS",""),"Choice","")))</x:f>
      </x:c>
      <x:c r="F171" s="28"/>
      <x:c r="G171" s="28"/>
      <x:c r="H171" s="28" t="str">
        <x:f>IF(G171="","",HYPERLINK(G171,"Abrir foto"))</x:f>
      </x:c>
      <x:c r="I171" s="28" t="str">
        <x:f>IF(G171="","Sem foto",IF(OR(ISNUMBER(SEARCH("logo",G171)),ISNUMBER(SEARCH("sprite",G171)),ISNUMBER(SEARCH("aliexpress",G171))),"Revisar foto","OK"))</x:f>
        <x:v>Sem foto</x:v>
      </x:c>
      <x:c r="J171" s="28"/>
      <x:c r="K171" s="30"/>
      <x:c r="L171" s="30"/>
      <x:c r="M171" s="30" t="str">
        <x:f>IF(K171="","",K171+IF(L171="",0,L171))</x:f>
      </x:c>
      <x:c r="N171" s="30"/>
      <x:c r="O171" s="30" t="str">
        <x:f>IF(OR(N171="",M171=""),"",N171-M171)</x:f>
      </x:c>
      <x:c r="P171" s="29" t="str">
        <x:f>IF(OR(N171="",O171=""),"",O171/N171)</x:f>
      </x:c>
      <x:c r="Q171" s="28"/>
      <x:c r="R171" s="28"/>
      <x:c r="S171" s="28"/>
      <x:c r="T171" s="28"/>
      <x:c r="U171" s="28"/>
      <x:c r="V171" s="32"/>
      <x:c r="W171" s="28" t="str">
        <x:f>IF(OR(ISNUMBER(SEARCH("aliexpress",D171)),ISNUMBER(SEARCH("aliexpress",X171))),"Revisar mencao","OK")</x:f>
        <x:v>OK</x:v>
      </x:c>
      <x:c r="X171" s="28"/>
    </x:row>
    <x:row r="172">
      <x:c r="A172" s="28"/>
      <x:c r="B172" s="28"/>
      <x:c r="C172" s="28"/>
      <x:c r="D172" s="28"/>
      <x:c r="E172" s="28" t="str">
        <x:f>IF(D172="","",TRIM(SUBSTITUTE(SUBSTITUTE(SUBSTITUTE(SUBSTITUTE(D172,"AliExpress",""),"aliexpress",""),"ALIEXPRESS",""),"Choice","")))</x:f>
      </x:c>
      <x:c r="F172" s="28"/>
      <x:c r="G172" s="28"/>
      <x:c r="H172" s="28" t="str">
        <x:f>IF(G172="","",HYPERLINK(G172,"Abrir foto"))</x:f>
      </x:c>
      <x:c r="I172" s="28" t="str">
        <x:f>IF(G172="","Sem foto",IF(OR(ISNUMBER(SEARCH("logo",G172)),ISNUMBER(SEARCH("sprite",G172)),ISNUMBER(SEARCH("aliexpress",G172))),"Revisar foto","OK"))</x:f>
        <x:v>Sem foto</x:v>
      </x:c>
      <x:c r="J172" s="28"/>
      <x:c r="K172" s="30"/>
      <x:c r="L172" s="30"/>
      <x:c r="M172" s="30" t="str">
        <x:f>IF(K172="","",K172+IF(L172="",0,L172))</x:f>
      </x:c>
      <x:c r="N172" s="30"/>
      <x:c r="O172" s="30" t="str">
        <x:f>IF(OR(N172="",M172=""),"",N172-M172)</x:f>
      </x:c>
      <x:c r="P172" s="29" t="str">
        <x:f>IF(OR(N172="",O172=""),"",O172/N172)</x:f>
      </x:c>
      <x:c r="Q172" s="28"/>
      <x:c r="R172" s="28"/>
      <x:c r="S172" s="28"/>
      <x:c r="T172" s="28"/>
      <x:c r="U172" s="28"/>
      <x:c r="V172" s="32"/>
      <x:c r="W172" s="28" t="str">
        <x:f>IF(OR(ISNUMBER(SEARCH("aliexpress",D172)),ISNUMBER(SEARCH("aliexpress",X172))),"Revisar mencao","OK")</x:f>
        <x:v>OK</x:v>
      </x:c>
      <x:c r="X172" s="28"/>
    </x:row>
    <x:row r="173">
      <x:c r="A173" s="28"/>
      <x:c r="B173" s="28"/>
      <x:c r="C173" s="28"/>
      <x:c r="D173" s="28"/>
      <x:c r="E173" s="28" t="str">
        <x:f>IF(D173="","",TRIM(SUBSTITUTE(SUBSTITUTE(SUBSTITUTE(SUBSTITUTE(D173,"AliExpress",""),"aliexpress",""),"ALIEXPRESS",""),"Choice","")))</x:f>
      </x:c>
      <x:c r="F173" s="28"/>
      <x:c r="G173" s="28"/>
      <x:c r="H173" s="28" t="str">
        <x:f>IF(G173="","",HYPERLINK(G173,"Abrir foto"))</x:f>
      </x:c>
      <x:c r="I173" s="28" t="str">
        <x:f>IF(G173="","Sem foto",IF(OR(ISNUMBER(SEARCH("logo",G173)),ISNUMBER(SEARCH("sprite",G173)),ISNUMBER(SEARCH("aliexpress",G173))),"Revisar foto","OK"))</x:f>
        <x:v>Sem foto</x:v>
      </x:c>
      <x:c r="J173" s="28"/>
      <x:c r="K173" s="30"/>
      <x:c r="L173" s="30"/>
      <x:c r="M173" s="30" t="str">
        <x:f>IF(K173="","",K173+IF(L173="",0,L173))</x:f>
      </x:c>
      <x:c r="N173" s="30"/>
      <x:c r="O173" s="30" t="str">
        <x:f>IF(OR(N173="",M173=""),"",N173-M173)</x:f>
      </x:c>
      <x:c r="P173" s="29" t="str">
        <x:f>IF(OR(N173="",O173=""),"",O173/N173)</x:f>
      </x:c>
      <x:c r="Q173" s="28"/>
      <x:c r="R173" s="28"/>
      <x:c r="S173" s="28"/>
      <x:c r="T173" s="28"/>
      <x:c r="U173" s="28"/>
      <x:c r="V173" s="32"/>
      <x:c r="W173" s="28" t="str">
        <x:f>IF(OR(ISNUMBER(SEARCH("aliexpress",D173)),ISNUMBER(SEARCH("aliexpress",X173))),"Revisar mencao","OK")</x:f>
        <x:v>OK</x:v>
      </x:c>
      <x:c r="X173" s="28"/>
    </x:row>
    <x:row r="174">
      <x:c r="A174" s="28"/>
      <x:c r="B174" s="28"/>
      <x:c r="C174" s="28"/>
      <x:c r="D174" s="28"/>
      <x:c r="E174" s="28" t="str">
        <x:f>IF(D174="","",TRIM(SUBSTITUTE(SUBSTITUTE(SUBSTITUTE(SUBSTITUTE(D174,"AliExpress",""),"aliexpress",""),"ALIEXPRESS",""),"Choice","")))</x:f>
      </x:c>
      <x:c r="F174" s="28"/>
      <x:c r="G174" s="28"/>
      <x:c r="H174" s="28" t="str">
        <x:f>IF(G174="","",HYPERLINK(G174,"Abrir foto"))</x:f>
      </x:c>
      <x:c r="I174" s="28" t="str">
        <x:f>IF(G174="","Sem foto",IF(OR(ISNUMBER(SEARCH("logo",G174)),ISNUMBER(SEARCH("sprite",G174)),ISNUMBER(SEARCH("aliexpress",G174))),"Revisar foto","OK"))</x:f>
        <x:v>Sem foto</x:v>
      </x:c>
      <x:c r="J174" s="28"/>
      <x:c r="K174" s="30"/>
      <x:c r="L174" s="30"/>
      <x:c r="M174" s="30" t="str">
        <x:f>IF(K174="","",K174+IF(L174="",0,L174))</x:f>
      </x:c>
      <x:c r="N174" s="30"/>
      <x:c r="O174" s="30" t="str">
        <x:f>IF(OR(N174="",M174=""),"",N174-M174)</x:f>
      </x:c>
      <x:c r="P174" s="29" t="str">
        <x:f>IF(OR(N174="",O174=""),"",O174/N174)</x:f>
      </x:c>
      <x:c r="Q174" s="28"/>
      <x:c r="R174" s="28"/>
      <x:c r="S174" s="28"/>
      <x:c r="T174" s="28"/>
      <x:c r="U174" s="28"/>
      <x:c r="V174" s="32"/>
      <x:c r="W174" s="28" t="str">
        <x:f>IF(OR(ISNUMBER(SEARCH("aliexpress",D174)),ISNUMBER(SEARCH("aliexpress",X174))),"Revisar mencao","OK")</x:f>
        <x:v>OK</x:v>
      </x:c>
      <x:c r="X174" s="28"/>
    </x:row>
    <x:row r="175">
      <x:c r="A175" s="28"/>
      <x:c r="B175" s="28"/>
      <x:c r="C175" s="28"/>
      <x:c r="D175" s="28"/>
      <x:c r="E175" s="28" t="str">
        <x:f>IF(D175="","",TRIM(SUBSTITUTE(SUBSTITUTE(SUBSTITUTE(SUBSTITUTE(D175,"AliExpress",""),"aliexpress",""),"ALIEXPRESS",""),"Choice","")))</x:f>
      </x:c>
      <x:c r="F175" s="28"/>
      <x:c r="G175" s="28"/>
      <x:c r="H175" s="28" t="str">
        <x:f>IF(G175="","",HYPERLINK(G175,"Abrir foto"))</x:f>
      </x:c>
      <x:c r="I175" s="28" t="str">
        <x:f>IF(G175="","Sem foto",IF(OR(ISNUMBER(SEARCH("logo",G175)),ISNUMBER(SEARCH("sprite",G175)),ISNUMBER(SEARCH("aliexpress",G175))),"Revisar foto","OK"))</x:f>
        <x:v>Sem foto</x:v>
      </x:c>
      <x:c r="J175" s="28"/>
      <x:c r="K175" s="30"/>
      <x:c r="L175" s="30"/>
      <x:c r="M175" s="30" t="str">
        <x:f>IF(K175="","",K175+IF(L175="",0,L175))</x:f>
      </x:c>
      <x:c r="N175" s="30"/>
      <x:c r="O175" s="30" t="str">
        <x:f>IF(OR(N175="",M175=""),"",N175-M175)</x:f>
      </x:c>
      <x:c r="P175" s="29" t="str">
        <x:f>IF(OR(N175="",O175=""),"",O175/N175)</x:f>
      </x:c>
      <x:c r="Q175" s="28"/>
      <x:c r="R175" s="28"/>
      <x:c r="S175" s="28"/>
      <x:c r="T175" s="28"/>
      <x:c r="U175" s="28"/>
      <x:c r="V175" s="32"/>
      <x:c r="W175" s="28" t="str">
        <x:f>IF(OR(ISNUMBER(SEARCH("aliexpress",D175)),ISNUMBER(SEARCH("aliexpress",X175))),"Revisar mencao","OK")</x:f>
        <x:v>OK</x:v>
      </x:c>
      <x:c r="X175" s="28"/>
    </x:row>
    <x:row r="176">
      <x:c r="A176" s="28"/>
      <x:c r="B176" s="28"/>
      <x:c r="C176" s="28"/>
      <x:c r="D176" s="28"/>
      <x:c r="E176" s="28" t="str">
        <x:f>IF(D176="","",TRIM(SUBSTITUTE(SUBSTITUTE(SUBSTITUTE(SUBSTITUTE(D176,"AliExpress",""),"aliexpress",""),"ALIEXPRESS",""),"Choice","")))</x:f>
      </x:c>
      <x:c r="F176" s="28"/>
      <x:c r="G176" s="28"/>
      <x:c r="H176" s="28" t="str">
        <x:f>IF(G176="","",HYPERLINK(G176,"Abrir foto"))</x:f>
      </x:c>
      <x:c r="I176" s="28" t="str">
        <x:f>IF(G176="","Sem foto",IF(OR(ISNUMBER(SEARCH("logo",G176)),ISNUMBER(SEARCH("sprite",G176)),ISNUMBER(SEARCH("aliexpress",G176))),"Revisar foto","OK"))</x:f>
        <x:v>Sem foto</x:v>
      </x:c>
      <x:c r="J176" s="28"/>
      <x:c r="K176" s="30"/>
      <x:c r="L176" s="30"/>
      <x:c r="M176" s="30" t="str">
        <x:f>IF(K176="","",K176+IF(L176="",0,L176))</x:f>
      </x:c>
      <x:c r="N176" s="30"/>
      <x:c r="O176" s="30" t="str">
        <x:f>IF(OR(N176="",M176=""),"",N176-M176)</x:f>
      </x:c>
      <x:c r="P176" s="29" t="str">
        <x:f>IF(OR(N176="",O176=""),"",O176/N176)</x:f>
      </x:c>
      <x:c r="Q176" s="28"/>
      <x:c r="R176" s="28"/>
      <x:c r="S176" s="28"/>
      <x:c r="T176" s="28"/>
      <x:c r="U176" s="28"/>
      <x:c r="V176" s="32"/>
      <x:c r="W176" s="28" t="str">
        <x:f>IF(OR(ISNUMBER(SEARCH("aliexpress",D176)),ISNUMBER(SEARCH("aliexpress",X176))),"Revisar mencao","OK")</x:f>
        <x:v>OK</x:v>
      </x:c>
      <x:c r="X176" s="28"/>
    </x:row>
    <x:row r="177">
      <x:c r="A177" s="28"/>
      <x:c r="B177" s="28"/>
      <x:c r="C177" s="28"/>
      <x:c r="D177" s="28"/>
      <x:c r="E177" s="28" t="str">
        <x:f>IF(D177="","",TRIM(SUBSTITUTE(SUBSTITUTE(SUBSTITUTE(SUBSTITUTE(D177,"AliExpress",""),"aliexpress",""),"ALIEXPRESS",""),"Choice","")))</x:f>
      </x:c>
      <x:c r="F177" s="28"/>
      <x:c r="G177" s="28"/>
      <x:c r="H177" s="28" t="str">
        <x:f>IF(G177="","",HYPERLINK(G177,"Abrir foto"))</x:f>
      </x:c>
      <x:c r="I177" s="28" t="str">
        <x:f>IF(G177="","Sem foto",IF(OR(ISNUMBER(SEARCH("logo",G177)),ISNUMBER(SEARCH("sprite",G177)),ISNUMBER(SEARCH("aliexpress",G177))),"Revisar foto","OK"))</x:f>
        <x:v>Sem foto</x:v>
      </x:c>
      <x:c r="J177" s="28"/>
      <x:c r="K177" s="30"/>
      <x:c r="L177" s="30"/>
      <x:c r="M177" s="30" t="str">
        <x:f>IF(K177="","",K177+IF(L177="",0,L177))</x:f>
      </x:c>
      <x:c r="N177" s="30"/>
      <x:c r="O177" s="30" t="str">
        <x:f>IF(OR(N177="",M177=""),"",N177-M177)</x:f>
      </x:c>
      <x:c r="P177" s="29" t="str">
        <x:f>IF(OR(N177="",O177=""),"",O177/N177)</x:f>
      </x:c>
      <x:c r="Q177" s="28"/>
      <x:c r="R177" s="28"/>
      <x:c r="S177" s="28"/>
      <x:c r="T177" s="28"/>
      <x:c r="U177" s="28"/>
      <x:c r="V177" s="32"/>
      <x:c r="W177" s="28" t="str">
        <x:f>IF(OR(ISNUMBER(SEARCH("aliexpress",D177)),ISNUMBER(SEARCH("aliexpress",X177))),"Revisar mencao","OK")</x:f>
        <x:v>OK</x:v>
      </x:c>
      <x:c r="X177" s="28"/>
    </x:row>
    <x:row r="178">
      <x:c r="A178" s="28"/>
      <x:c r="B178" s="28"/>
      <x:c r="C178" s="28"/>
      <x:c r="D178" s="28"/>
      <x:c r="E178" s="28" t="str">
        <x:f>IF(D178="","",TRIM(SUBSTITUTE(SUBSTITUTE(SUBSTITUTE(SUBSTITUTE(D178,"AliExpress",""),"aliexpress",""),"ALIEXPRESS",""),"Choice","")))</x:f>
      </x:c>
      <x:c r="F178" s="28"/>
      <x:c r="G178" s="28"/>
      <x:c r="H178" s="28" t="str">
        <x:f>IF(G178="","",HYPERLINK(G178,"Abrir foto"))</x:f>
      </x:c>
      <x:c r="I178" s="28" t="str">
        <x:f>IF(G178="","Sem foto",IF(OR(ISNUMBER(SEARCH("logo",G178)),ISNUMBER(SEARCH("sprite",G178)),ISNUMBER(SEARCH("aliexpress",G178))),"Revisar foto","OK"))</x:f>
        <x:v>Sem foto</x:v>
      </x:c>
      <x:c r="J178" s="28"/>
      <x:c r="K178" s="30"/>
      <x:c r="L178" s="30"/>
      <x:c r="M178" s="30" t="str">
        <x:f>IF(K178="","",K178+IF(L178="",0,L178))</x:f>
      </x:c>
      <x:c r="N178" s="30"/>
      <x:c r="O178" s="30" t="str">
        <x:f>IF(OR(N178="",M178=""),"",N178-M178)</x:f>
      </x:c>
      <x:c r="P178" s="29" t="str">
        <x:f>IF(OR(N178="",O178=""),"",O178/N178)</x:f>
      </x:c>
      <x:c r="Q178" s="28"/>
      <x:c r="R178" s="28"/>
      <x:c r="S178" s="28"/>
      <x:c r="T178" s="28"/>
      <x:c r="U178" s="28"/>
      <x:c r="V178" s="32"/>
      <x:c r="W178" s="28" t="str">
        <x:f>IF(OR(ISNUMBER(SEARCH("aliexpress",D178)),ISNUMBER(SEARCH("aliexpress",X178))),"Revisar mencao","OK")</x:f>
        <x:v>OK</x:v>
      </x:c>
      <x:c r="X178" s="28"/>
    </x:row>
    <x:row r="179">
      <x:c r="A179" s="28"/>
      <x:c r="B179" s="28"/>
      <x:c r="C179" s="28"/>
      <x:c r="D179" s="28"/>
      <x:c r="E179" s="28" t="str">
        <x:f>IF(D179="","",TRIM(SUBSTITUTE(SUBSTITUTE(SUBSTITUTE(SUBSTITUTE(D179,"AliExpress",""),"aliexpress",""),"ALIEXPRESS",""),"Choice","")))</x:f>
      </x:c>
      <x:c r="F179" s="28"/>
      <x:c r="G179" s="28"/>
      <x:c r="H179" s="28" t="str">
        <x:f>IF(G179="","",HYPERLINK(G179,"Abrir foto"))</x:f>
      </x:c>
      <x:c r="I179" s="28" t="str">
        <x:f>IF(G179="","Sem foto",IF(OR(ISNUMBER(SEARCH("logo",G179)),ISNUMBER(SEARCH("sprite",G179)),ISNUMBER(SEARCH("aliexpress",G179))),"Revisar foto","OK"))</x:f>
        <x:v>Sem foto</x:v>
      </x:c>
      <x:c r="J179" s="28"/>
      <x:c r="K179" s="30"/>
      <x:c r="L179" s="30"/>
      <x:c r="M179" s="30" t="str">
        <x:f>IF(K179="","",K179+IF(L179="",0,L179))</x:f>
      </x:c>
      <x:c r="N179" s="30"/>
      <x:c r="O179" s="30" t="str">
        <x:f>IF(OR(N179="",M179=""),"",N179-M179)</x:f>
      </x:c>
      <x:c r="P179" s="29" t="str">
        <x:f>IF(OR(N179="",O179=""),"",O179/N179)</x:f>
      </x:c>
      <x:c r="Q179" s="28"/>
      <x:c r="R179" s="28"/>
      <x:c r="S179" s="28"/>
      <x:c r="T179" s="28"/>
      <x:c r="U179" s="28"/>
      <x:c r="V179" s="32"/>
      <x:c r="W179" s="28" t="str">
        <x:f>IF(OR(ISNUMBER(SEARCH("aliexpress",D179)),ISNUMBER(SEARCH("aliexpress",X179))),"Revisar mencao","OK")</x:f>
        <x:v>OK</x:v>
      </x:c>
      <x:c r="X179" s="28"/>
    </x:row>
    <x:row r="180">
      <x:c r="A180" s="28"/>
      <x:c r="B180" s="28"/>
      <x:c r="C180" s="28"/>
      <x:c r="D180" s="28"/>
      <x:c r="E180" s="28" t="str">
        <x:f>IF(D180="","",TRIM(SUBSTITUTE(SUBSTITUTE(SUBSTITUTE(SUBSTITUTE(D180,"AliExpress",""),"aliexpress",""),"ALIEXPRESS",""),"Choice","")))</x:f>
      </x:c>
      <x:c r="F180" s="28"/>
      <x:c r="G180" s="28"/>
      <x:c r="H180" s="28" t="str">
        <x:f>IF(G180="","",HYPERLINK(G180,"Abrir foto"))</x:f>
      </x:c>
      <x:c r="I180" s="28" t="str">
        <x:f>IF(G180="","Sem foto",IF(OR(ISNUMBER(SEARCH("logo",G180)),ISNUMBER(SEARCH("sprite",G180)),ISNUMBER(SEARCH("aliexpress",G180))),"Revisar foto","OK"))</x:f>
        <x:v>Sem foto</x:v>
      </x:c>
      <x:c r="J180" s="28"/>
      <x:c r="K180" s="30"/>
      <x:c r="L180" s="30"/>
      <x:c r="M180" s="30" t="str">
        <x:f>IF(K180="","",K180+IF(L180="",0,L180))</x:f>
      </x:c>
      <x:c r="N180" s="30"/>
      <x:c r="O180" s="30" t="str">
        <x:f>IF(OR(N180="",M180=""),"",N180-M180)</x:f>
      </x:c>
      <x:c r="P180" s="29" t="str">
        <x:f>IF(OR(N180="",O180=""),"",O180/N180)</x:f>
      </x:c>
      <x:c r="Q180" s="28"/>
      <x:c r="R180" s="28"/>
      <x:c r="S180" s="28"/>
      <x:c r="T180" s="28"/>
      <x:c r="U180" s="28"/>
      <x:c r="V180" s="32"/>
      <x:c r="W180" s="28" t="str">
        <x:f>IF(OR(ISNUMBER(SEARCH("aliexpress",D180)),ISNUMBER(SEARCH("aliexpress",X180))),"Revisar mencao","OK")</x:f>
        <x:v>OK</x:v>
      </x:c>
      <x:c r="X180" s="28"/>
    </x:row>
    <x:row r="181">
      <x:c r="A181" s="28"/>
      <x:c r="B181" s="28"/>
      <x:c r="C181" s="28"/>
      <x:c r="D181" s="28"/>
      <x:c r="E181" s="28" t="str">
        <x:f>IF(D181="","",TRIM(SUBSTITUTE(SUBSTITUTE(SUBSTITUTE(SUBSTITUTE(D181,"AliExpress",""),"aliexpress",""),"ALIEXPRESS",""),"Choice","")))</x:f>
      </x:c>
      <x:c r="F181" s="28"/>
      <x:c r="G181" s="28"/>
      <x:c r="H181" s="28" t="str">
        <x:f>IF(G181="","",HYPERLINK(G181,"Abrir foto"))</x:f>
      </x:c>
      <x:c r="I181" s="28" t="str">
        <x:f>IF(G181="","Sem foto",IF(OR(ISNUMBER(SEARCH("logo",G181)),ISNUMBER(SEARCH("sprite",G181)),ISNUMBER(SEARCH("aliexpress",G181))),"Revisar foto","OK"))</x:f>
        <x:v>Sem foto</x:v>
      </x:c>
      <x:c r="J181" s="28"/>
      <x:c r="K181" s="30"/>
      <x:c r="L181" s="30"/>
      <x:c r="M181" s="30" t="str">
        <x:f>IF(K181="","",K181+IF(L181="",0,L181))</x:f>
      </x:c>
      <x:c r="N181" s="30"/>
      <x:c r="O181" s="30" t="str">
        <x:f>IF(OR(N181="",M181=""),"",N181-M181)</x:f>
      </x:c>
      <x:c r="P181" s="29" t="str">
        <x:f>IF(OR(N181="",O181=""),"",O181/N181)</x:f>
      </x:c>
      <x:c r="Q181" s="28"/>
      <x:c r="R181" s="28"/>
      <x:c r="S181" s="28"/>
      <x:c r="T181" s="28"/>
      <x:c r="U181" s="28"/>
      <x:c r="V181" s="32"/>
      <x:c r="W181" s="28" t="str">
        <x:f>IF(OR(ISNUMBER(SEARCH("aliexpress",D181)),ISNUMBER(SEARCH("aliexpress",X181))),"Revisar mencao","OK")</x:f>
        <x:v>OK</x:v>
      </x:c>
      <x:c r="X181" s="28"/>
    </x:row>
    <x:row r="182">
      <x:c r="A182" s="28"/>
      <x:c r="B182" s="28"/>
      <x:c r="C182" s="28"/>
      <x:c r="D182" s="28"/>
      <x:c r="E182" s="28" t="str">
        <x:f>IF(D182="","",TRIM(SUBSTITUTE(SUBSTITUTE(SUBSTITUTE(SUBSTITUTE(D182,"AliExpress",""),"aliexpress",""),"ALIEXPRESS",""),"Choice","")))</x:f>
      </x:c>
      <x:c r="F182" s="28"/>
      <x:c r="G182" s="28"/>
      <x:c r="H182" s="28" t="str">
        <x:f>IF(G182="","",HYPERLINK(G182,"Abrir foto"))</x:f>
      </x:c>
      <x:c r="I182" s="28" t="str">
        <x:f>IF(G182="","Sem foto",IF(OR(ISNUMBER(SEARCH("logo",G182)),ISNUMBER(SEARCH("sprite",G182)),ISNUMBER(SEARCH("aliexpress",G182))),"Revisar foto","OK"))</x:f>
        <x:v>Sem foto</x:v>
      </x:c>
      <x:c r="J182" s="28"/>
      <x:c r="K182" s="30"/>
      <x:c r="L182" s="30"/>
      <x:c r="M182" s="30" t="str">
        <x:f>IF(K182="","",K182+IF(L182="",0,L182))</x:f>
      </x:c>
      <x:c r="N182" s="30"/>
      <x:c r="O182" s="30" t="str">
        <x:f>IF(OR(N182="",M182=""),"",N182-M182)</x:f>
      </x:c>
      <x:c r="P182" s="29" t="str">
        <x:f>IF(OR(N182="",O182=""),"",O182/N182)</x:f>
      </x:c>
      <x:c r="Q182" s="28"/>
      <x:c r="R182" s="28"/>
      <x:c r="S182" s="28"/>
      <x:c r="T182" s="28"/>
      <x:c r="U182" s="28"/>
      <x:c r="V182" s="32"/>
      <x:c r="W182" s="28" t="str">
        <x:f>IF(OR(ISNUMBER(SEARCH("aliexpress",D182)),ISNUMBER(SEARCH("aliexpress",X182))),"Revisar mencao","OK")</x:f>
        <x:v>OK</x:v>
      </x:c>
      <x:c r="X182" s="28"/>
    </x:row>
    <x:row r="183">
      <x:c r="A183" s="28"/>
      <x:c r="B183" s="28"/>
      <x:c r="C183" s="28"/>
      <x:c r="D183" s="28"/>
      <x:c r="E183" s="28" t="str">
        <x:f>IF(D183="","",TRIM(SUBSTITUTE(SUBSTITUTE(SUBSTITUTE(SUBSTITUTE(D183,"AliExpress",""),"aliexpress",""),"ALIEXPRESS",""),"Choice","")))</x:f>
      </x:c>
      <x:c r="F183" s="28"/>
      <x:c r="G183" s="28"/>
      <x:c r="H183" s="28" t="str">
        <x:f>IF(G183="","",HYPERLINK(G183,"Abrir foto"))</x:f>
      </x:c>
      <x:c r="I183" s="28" t="str">
        <x:f>IF(G183="","Sem foto",IF(OR(ISNUMBER(SEARCH("logo",G183)),ISNUMBER(SEARCH("sprite",G183)),ISNUMBER(SEARCH("aliexpress",G183))),"Revisar foto","OK"))</x:f>
        <x:v>Sem foto</x:v>
      </x:c>
      <x:c r="J183" s="28"/>
      <x:c r="K183" s="30"/>
      <x:c r="L183" s="30"/>
      <x:c r="M183" s="30" t="str">
        <x:f>IF(K183="","",K183+IF(L183="",0,L183))</x:f>
      </x:c>
      <x:c r="N183" s="30"/>
      <x:c r="O183" s="30" t="str">
        <x:f>IF(OR(N183="",M183=""),"",N183-M183)</x:f>
      </x:c>
      <x:c r="P183" s="29" t="str">
        <x:f>IF(OR(N183="",O183=""),"",O183/N183)</x:f>
      </x:c>
      <x:c r="Q183" s="28"/>
      <x:c r="R183" s="28"/>
      <x:c r="S183" s="28"/>
      <x:c r="T183" s="28"/>
      <x:c r="U183" s="28"/>
      <x:c r="V183" s="32"/>
      <x:c r="W183" s="28" t="str">
        <x:f>IF(OR(ISNUMBER(SEARCH("aliexpress",D183)),ISNUMBER(SEARCH("aliexpress",X183))),"Revisar mencao","OK")</x:f>
        <x:v>OK</x:v>
      </x:c>
      <x:c r="X183" s="28"/>
    </x:row>
    <x:row r="184">
      <x:c r="A184" s="28"/>
      <x:c r="B184" s="28"/>
      <x:c r="C184" s="28"/>
      <x:c r="D184" s="28"/>
      <x:c r="E184" s="28" t="str">
        <x:f>IF(D184="","",TRIM(SUBSTITUTE(SUBSTITUTE(SUBSTITUTE(SUBSTITUTE(D184,"AliExpress",""),"aliexpress",""),"ALIEXPRESS",""),"Choice","")))</x:f>
      </x:c>
      <x:c r="F184" s="28"/>
      <x:c r="G184" s="28"/>
      <x:c r="H184" s="28" t="str">
        <x:f>IF(G184="","",HYPERLINK(G184,"Abrir foto"))</x:f>
      </x:c>
      <x:c r="I184" s="28" t="str">
        <x:f>IF(G184="","Sem foto",IF(OR(ISNUMBER(SEARCH("logo",G184)),ISNUMBER(SEARCH("sprite",G184)),ISNUMBER(SEARCH("aliexpress",G184))),"Revisar foto","OK"))</x:f>
        <x:v>Sem foto</x:v>
      </x:c>
      <x:c r="J184" s="28"/>
      <x:c r="K184" s="30"/>
      <x:c r="L184" s="30"/>
      <x:c r="M184" s="30" t="str">
        <x:f>IF(K184="","",K184+IF(L184="",0,L184))</x:f>
      </x:c>
      <x:c r="N184" s="30"/>
      <x:c r="O184" s="30" t="str">
        <x:f>IF(OR(N184="",M184=""),"",N184-M184)</x:f>
      </x:c>
      <x:c r="P184" s="29" t="str">
        <x:f>IF(OR(N184="",O184=""),"",O184/N184)</x:f>
      </x:c>
      <x:c r="Q184" s="28"/>
      <x:c r="R184" s="28"/>
      <x:c r="S184" s="28"/>
      <x:c r="T184" s="28"/>
      <x:c r="U184" s="28"/>
      <x:c r="V184" s="32"/>
      <x:c r="W184" s="28" t="str">
        <x:f>IF(OR(ISNUMBER(SEARCH("aliexpress",D184)),ISNUMBER(SEARCH("aliexpress",X184))),"Revisar mencao","OK")</x:f>
        <x:v>OK</x:v>
      </x:c>
      <x:c r="X184" s="28"/>
    </x:row>
    <x:row r="185">
      <x:c r="A185" s="28"/>
      <x:c r="B185" s="28"/>
      <x:c r="C185" s="28"/>
      <x:c r="D185" s="28"/>
      <x:c r="E185" s="28" t="str">
        <x:f>IF(D185="","",TRIM(SUBSTITUTE(SUBSTITUTE(SUBSTITUTE(SUBSTITUTE(D185,"AliExpress",""),"aliexpress",""),"ALIEXPRESS",""),"Choice","")))</x:f>
      </x:c>
      <x:c r="F185" s="28"/>
      <x:c r="G185" s="28"/>
      <x:c r="H185" s="28" t="str">
        <x:f>IF(G185="","",HYPERLINK(G185,"Abrir foto"))</x:f>
      </x:c>
      <x:c r="I185" s="28" t="str">
        <x:f>IF(G185="","Sem foto",IF(OR(ISNUMBER(SEARCH("logo",G185)),ISNUMBER(SEARCH("sprite",G185)),ISNUMBER(SEARCH("aliexpress",G185))),"Revisar foto","OK"))</x:f>
        <x:v>Sem foto</x:v>
      </x:c>
      <x:c r="J185" s="28"/>
      <x:c r="K185" s="30"/>
      <x:c r="L185" s="30"/>
      <x:c r="M185" s="30" t="str">
        <x:f>IF(K185="","",K185+IF(L185="",0,L185))</x:f>
      </x:c>
      <x:c r="N185" s="30"/>
      <x:c r="O185" s="30" t="str">
        <x:f>IF(OR(N185="",M185=""),"",N185-M185)</x:f>
      </x:c>
      <x:c r="P185" s="29" t="str">
        <x:f>IF(OR(N185="",O185=""),"",O185/N185)</x:f>
      </x:c>
      <x:c r="Q185" s="28"/>
      <x:c r="R185" s="28"/>
      <x:c r="S185" s="28"/>
      <x:c r="T185" s="28"/>
      <x:c r="U185" s="28"/>
      <x:c r="V185" s="32"/>
      <x:c r="W185" s="28" t="str">
        <x:f>IF(OR(ISNUMBER(SEARCH("aliexpress",D185)),ISNUMBER(SEARCH("aliexpress",X185))),"Revisar mencao","OK")</x:f>
        <x:v>OK</x:v>
      </x:c>
      <x:c r="X185" s="28"/>
    </x:row>
    <x:row r="186">
      <x:c r="A186" s="28"/>
      <x:c r="B186" s="28"/>
      <x:c r="C186" s="28"/>
      <x:c r="D186" s="28"/>
      <x:c r="E186" s="28" t="str">
        <x:f>IF(D186="","",TRIM(SUBSTITUTE(SUBSTITUTE(SUBSTITUTE(SUBSTITUTE(D186,"AliExpress",""),"aliexpress",""),"ALIEXPRESS",""),"Choice","")))</x:f>
      </x:c>
      <x:c r="F186" s="28"/>
      <x:c r="G186" s="28"/>
      <x:c r="H186" s="28" t="str">
        <x:f>IF(G186="","",HYPERLINK(G186,"Abrir foto"))</x:f>
      </x:c>
      <x:c r="I186" s="28" t="str">
        <x:f>IF(G186="","Sem foto",IF(OR(ISNUMBER(SEARCH("logo",G186)),ISNUMBER(SEARCH("sprite",G186)),ISNUMBER(SEARCH("aliexpress",G186))),"Revisar foto","OK"))</x:f>
        <x:v>Sem foto</x:v>
      </x:c>
      <x:c r="J186" s="28"/>
      <x:c r="K186" s="30"/>
      <x:c r="L186" s="30"/>
      <x:c r="M186" s="30" t="str">
        <x:f>IF(K186="","",K186+IF(L186="",0,L186))</x:f>
      </x:c>
      <x:c r="N186" s="30"/>
      <x:c r="O186" s="30" t="str">
        <x:f>IF(OR(N186="",M186=""),"",N186-M186)</x:f>
      </x:c>
      <x:c r="P186" s="29" t="str">
        <x:f>IF(OR(N186="",O186=""),"",O186/N186)</x:f>
      </x:c>
      <x:c r="Q186" s="28"/>
      <x:c r="R186" s="28"/>
      <x:c r="S186" s="28"/>
      <x:c r="T186" s="28"/>
      <x:c r="U186" s="28"/>
      <x:c r="V186" s="32"/>
      <x:c r="W186" s="28" t="str">
        <x:f>IF(OR(ISNUMBER(SEARCH("aliexpress",D186)),ISNUMBER(SEARCH("aliexpress",X186))),"Revisar mencao","OK")</x:f>
        <x:v>OK</x:v>
      </x:c>
      <x:c r="X186" s="28"/>
    </x:row>
    <x:row r="187">
      <x:c r="A187" s="28"/>
      <x:c r="B187" s="28"/>
      <x:c r="C187" s="28"/>
      <x:c r="D187" s="28"/>
      <x:c r="E187" s="28" t="str">
        <x:f>IF(D187="","",TRIM(SUBSTITUTE(SUBSTITUTE(SUBSTITUTE(SUBSTITUTE(D187,"AliExpress",""),"aliexpress",""),"ALIEXPRESS",""),"Choice","")))</x:f>
      </x:c>
      <x:c r="F187" s="28"/>
      <x:c r="G187" s="28"/>
      <x:c r="H187" s="28" t="str">
        <x:f>IF(G187="","",HYPERLINK(G187,"Abrir foto"))</x:f>
      </x:c>
      <x:c r="I187" s="28" t="str">
        <x:f>IF(G187="","Sem foto",IF(OR(ISNUMBER(SEARCH("logo",G187)),ISNUMBER(SEARCH("sprite",G187)),ISNUMBER(SEARCH("aliexpress",G187))),"Revisar foto","OK"))</x:f>
        <x:v>Sem foto</x:v>
      </x:c>
      <x:c r="J187" s="28"/>
      <x:c r="K187" s="30"/>
      <x:c r="L187" s="30"/>
      <x:c r="M187" s="30" t="str">
        <x:f>IF(K187="","",K187+IF(L187="",0,L187))</x:f>
      </x:c>
      <x:c r="N187" s="30"/>
      <x:c r="O187" s="30" t="str">
        <x:f>IF(OR(N187="",M187=""),"",N187-M187)</x:f>
      </x:c>
      <x:c r="P187" s="29" t="str">
        <x:f>IF(OR(N187="",O187=""),"",O187/N187)</x:f>
      </x:c>
      <x:c r="Q187" s="28"/>
      <x:c r="R187" s="28"/>
      <x:c r="S187" s="28"/>
      <x:c r="T187" s="28"/>
      <x:c r="U187" s="28"/>
      <x:c r="V187" s="32"/>
      <x:c r="W187" s="28" t="str">
        <x:f>IF(OR(ISNUMBER(SEARCH("aliexpress",D187)),ISNUMBER(SEARCH("aliexpress",X187))),"Revisar mencao","OK")</x:f>
        <x:v>OK</x:v>
      </x:c>
      <x:c r="X187" s="28"/>
    </x:row>
    <x:row r="188">
      <x:c r="A188" s="28"/>
      <x:c r="B188" s="28"/>
      <x:c r="C188" s="28"/>
      <x:c r="D188" s="28"/>
      <x:c r="E188" s="28" t="str">
        <x:f>IF(D188="","",TRIM(SUBSTITUTE(SUBSTITUTE(SUBSTITUTE(SUBSTITUTE(D188,"AliExpress",""),"aliexpress",""),"ALIEXPRESS",""),"Choice","")))</x:f>
      </x:c>
      <x:c r="F188" s="28"/>
      <x:c r="G188" s="28"/>
      <x:c r="H188" s="28" t="str">
        <x:f>IF(G188="","",HYPERLINK(G188,"Abrir foto"))</x:f>
      </x:c>
      <x:c r="I188" s="28" t="str">
        <x:f>IF(G188="","Sem foto",IF(OR(ISNUMBER(SEARCH("logo",G188)),ISNUMBER(SEARCH("sprite",G188)),ISNUMBER(SEARCH("aliexpress",G188))),"Revisar foto","OK"))</x:f>
        <x:v>Sem foto</x:v>
      </x:c>
      <x:c r="J188" s="28"/>
      <x:c r="K188" s="30"/>
      <x:c r="L188" s="30"/>
      <x:c r="M188" s="30" t="str">
        <x:f>IF(K188="","",K188+IF(L188="",0,L188))</x:f>
      </x:c>
      <x:c r="N188" s="30"/>
      <x:c r="O188" s="30" t="str">
        <x:f>IF(OR(N188="",M188=""),"",N188-M188)</x:f>
      </x:c>
      <x:c r="P188" s="29" t="str">
        <x:f>IF(OR(N188="",O188=""),"",O188/N188)</x:f>
      </x:c>
      <x:c r="Q188" s="28"/>
      <x:c r="R188" s="28"/>
      <x:c r="S188" s="28"/>
      <x:c r="T188" s="28"/>
      <x:c r="U188" s="28"/>
      <x:c r="V188" s="32"/>
      <x:c r="W188" s="28" t="str">
        <x:f>IF(OR(ISNUMBER(SEARCH("aliexpress",D188)),ISNUMBER(SEARCH("aliexpress",X188))),"Revisar mencao","OK")</x:f>
        <x:v>OK</x:v>
      </x:c>
      <x:c r="X188" s="28"/>
    </x:row>
    <x:row r="189">
      <x:c r="A189" s="28"/>
      <x:c r="B189" s="28"/>
      <x:c r="C189" s="28"/>
      <x:c r="D189" s="28"/>
      <x:c r="E189" s="28" t="str">
        <x:f>IF(D189="","",TRIM(SUBSTITUTE(SUBSTITUTE(SUBSTITUTE(SUBSTITUTE(D189,"AliExpress",""),"aliexpress",""),"ALIEXPRESS",""),"Choice","")))</x:f>
      </x:c>
      <x:c r="F189" s="28"/>
      <x:c r="G189" s="28"/>
      <x:c r="H189" s="28" t="str">
        <x:f>IF(G189="","",HYPERLINK(G189,"Abrir foto"))</x:f>
      </x:c>
      <x:c r="I189" s="28" t="str">
        <x:f>IF(G189="","Sem foto",IF(OR(ISNUMBER(SEARCH("logo",G189)),ISNUMBER(SEARCH("sprite",G189)),ISNUMBER(SEARCH("aliexpress",G189))),"Revisar foto","OK"))</x:f>
        <x:v>Sem foto</x:v>
      </x:c>
      <x:c r="J189" s="28"/>
      <x:c r="K189" s="30"/>
      <x:c r="L189" s="30"/>
      <x:c r="M189" s="30" t="str">
        <x:f>IF(K189="","",K189+IF(L189="",0,L189))</x:f>
      </x:c>
      <x:c r="N189" s="30"/>
      <x:c r="O189" s="30" t="str">
        <x:f>IF(OR(N189="",M189=""),"",N189-M189)</x:f>
      </x:c>
      <x:c r="P189" s="29" t="str">
        <x:f>IF(OR(N189="",O189=""),"",O189/N189)</x:f>
      </x:c>
      <x:c r="Q189" s="28"/>
      <x:c r="R189" s="28"/>
      <x:c r="S189" s="28"/>
      <x:c r="T189" s="28"/>
      <x:c r="U189" s="28"/>
      <x:c r="V189" s="32"/>
      <x:c r="W189" s="28" t="str">
        <x:f>IF(OR(ISNUMBER(SEARCH("aliexpress",D189)),ISNUMBER(SEARCH("aliexpress",X189))),"Revisar mencao","OK")</x:f>
        <x:v>OK</x:v>
      </x:c>
      <x:c r="X189" s="28"/>
    </x:row>
    <x:row r="190">
      <x:c r="A190" s="28"/>
      <x:c r="B190" s="28"/>
      <x:c r="C190" s="28"/>
      <x:c r="D190" s="28"/>
      <x:c r="E190" s="28" t="str">
        <x:f>IF(D190="","",TRIM(SUBSTITUTE(SUBSTITUTE(SUBSTITUTE(SUBSTITUTE(D190,"AliExpress",""),"aliexpress",""),"ALIEXPRESS",""),"Choice","")))</x:f>
      </x:c>
      <x:c r="F190" s="28"/>
      <x:c r="G190" s="28"/>
      <x:c r="H190" s="28" t="str">
        <x:f>IF(G190="","",HYPERLINK(G190,"Abrir foto"))</x:f>
      </x:c>
      <x:c r="I190" s="28" t="str">
        <x:f>IF(G190="","Sem foto",IF(OR(ISNUMBER(SEARCH("logo",G190)),ISNUMBER(SEARCH("sprite",G190)),ISNUMBER(SEARCH("aliexpress",G190))),"Revisar foto","OK"))</x:f>
        <x:v>Sem foto</x:v>
      </x:c>
      <x:c r="J190" s="28"/>
      <x:c r="K190" s="30"/>
      <x:c r="L190" s="30"/>
      <x:c r="M190" s="30" t="str">
        <x:f>IF(K190="","",K190+IF(L190="",0,L190))</x:f>
      </x:c>
      <x:c r="N190" s="30"/>
      <x:c r="O190" s="30" t="str">
        <x:f>IF(OR(N190="",M190=""),"",N190-M190)</x:f>
      </x:c>
      <x:c r="P190" s="29" t="str">
        <x:f>IF(OR(N190="",O190=""),"",O190/N190)</x:f>
      </x:c>
      <x:c r="Q190" s="28"/>
      <x:c r="R190" s="28"/>
      <x:c r="S190" s="28"/>
      <x:c r="T190" s="28"/>
      <x:c r="U190" s="28"/>
      <x:c r="V190" s="32"/>
      <x:c r="W190" s="28" t="str">
        <x:f>IF(OR(ISNUMBER(SEARCH("aliexpress",D190)),ISNUMBER(SEARCH("aliexpress",X190))),"Revisar mencao","OK")</x:f>
        <x:v>OK</x:v>
      </x:c>
      <x:c r="X190" s="28"/>
    </x:row>
    <x:row r="191">
      <x:c r="A191" s="28"/>
      <x:c r="B191" s="28"/>
      <x:c r="C191" s="28"/>
      <x:c r="D191" s="28"/>
      <x:c r="E191" s="28" t="str">
        <x:f>IF(D191="","",TRIM(SUBSTITUTE(SUBSTITUTE(SUBSTITUTE(SUBSTITUTE(D191,"AliExpress",""),"aliexpress",""),"ALIEXPRESS",""),"Choice","")))</x:f>
      </x:c>
      <x:c r="F191" s="28"/>
      <x:c r="G191" s="28"/>
      <x:c r="H191" s="28" t="str">
        <x:f>IF(G191="","",HYPERLINK(G191,"Abrir foto"))</x:f>
      </x:c>
      <x:c r="I191" s="28" t="str">
        <x:f>IF(G191="","Sem foto",IF(OR(ISNUMBER(SEARCH("logo",G191)),ISNUMBER(SEARCH("sprite",G191)),ISNUMBER(SEARCH("aliexpress",G191))),"Revisar foto","OK"))</x:f>
        <x:v>Sem foto</x:v>
      </x:c>
      <x:c r="J191" s="28"/>
      <x:c r="K191" s="30"/>
      <x:c r="L191" s="30"/>
      <x:c r="M191" s="30" t="str">
        <x:f>IF(K191="","",K191+IF(L191="",0,L191))</x:f>
      </x:c>
      <x:c r="N191" s="30"/>
      <x:c r="O191" s="30" t="str">
        <x:f>IF(OR(N191="",M191=""),"",N191-M191)</x:f>
      </x:c>
      <x:c r="P191" s="29" t="str">
        <x:f>IF(OR(N191="",O191=""),"",O191/N191)</x:f>
      </x:c>
      <x:c r="Q191" s="28"/>
      <x:c r="R191" s="28"/>
      <x:c r="S191" s="28"/>
      <x:c r="T191" s="28"/>
      <x:c r="U191" s="28"/>
      <x:c r="V191" s="32"/>
      <x:c r="W191" s="28" t="str">
        <x:f>IF(OR(ISNUMBER(SEARCH("aliexpress",D191)),ISNUMBER(SEARCH("aliexpress",X191))),"Revisar mencao","OK")</x:f>
        <x:v>OK</x:v>
      </x:c>
      <x:c r="X191" s="28"/>
    </x:row>
    <x:row r="192">
      <x:c r="A192" s="28"/>
      <x:c r="B192" s="28"/>
      <x:c r="C192" s="28"/>
      <x:c r="D192" s="28"/>
      <x:c r="E192" s="28" t="str">
        <x:f>IF(D192="","",TRIM(SUBSTITUTE(SUBSTITUTE(SUBSTITUTE(SUBSTITUTE(D192,"AliExpress",""),"aliexpress",""),"ALIEXPRESS",""),"Choice","")))</x:f>
      </x:c>
      <x:c r="F192" s="28"/>
      <x:c r="G192" s="28"/>
      <x:c r="H192" s="28" t="str">
        <x:f>IF(G192="","",HYPERLINK(G192,"Abrir foto"))</x:f>
      </x:c>
      <x:c r="I192" s="28" t="str">
        <x:f>IF(G192="","Sem foto",IF(OR(ISNUMBER(SEARCH("logo",G192)),ISNUMBER(SEARCH("sprite",G192)),ISNUMBER(SEARCH("aliexpress",G192))),"Revisar foto","OK"))</x:f>
        <x:v>Sem foto</x:v>
      </x:c>
      <x:c r="J192" s="28"/>
      <x:c r="K192" s="30"/>
      <x:c r="L192" s="30"/>
      <x:c r="M192" s="30" t="str">
        <x:f>IF(K192="","",K192+IF(L192="",0,L192))</x:f>
      </x:c>
      <x:c r="N192" s="30"/>
      <x:c r="O192" s="30" t="str">
        <x:f>IF(OR(N192="",M192=""),"",N192-M192)</x:f>
      </x:c>
      <x:c r="P192" s="29" t="str">
        <x:f>IF(OR(N192="",O192=""),"",O192/N192)</x:f>
      </x:c>
      <x:c r="Q192" s="28"/>
      <x:c r="R192" s="28"/>
      <x:c r="S192" s="28"/>
      <x:c r="T192" s="28"/>
      <x:c r="U192" s="28"/>
      <x:c r="V192" s="32"/>
      <x:c r="W192" s="28" t="str">
        <x:f>IF(OR(ISNUMBER(SEARCH("aliexpress",D192)),ISNUMBER(SEARCH("aliexpress",X192))),"Revisar mencao","OK")</x:f>
        <x:v>OK</x:v>
      </x:c>
      <x:c r="X192" s="28"/>
    </x:row>
    <x:row r="193">
      <x:c r="A193" s="28"/>
      <x:c r="B193" s="28"/>
      <x:c r="C193" s="28"/>
      <x:c r="D193" s="28"/>
      <x:c r="E193" s="28" t="str">
        <x:f>IF(D193="","",TRIM(SUBSTITUTE(SUBSTITUTE(SUBSTITUTE(SUBSTITUTE(D193,"AliExpress",""),"aliexpress",""),"ALIEXPRESS",""),"Choice","")))</x:f>
      </x:c>
      <x:c r="F193" s="28"/>
      <x:c r="G193" s="28"/>
      <x:c r="H193" s="28" t="str">
        <x:f>IF(G193="","",HYPERLINK(G193,"Abrir foto"))</x:f>
      </x:c>
      <x:c r="I193" s="28" t="str">
        <x:f>IF(G193="","Sem foto",IF(OR(ISNUMBER(SEARCH("logo",G193)),ISNUMBER(SEARCH("sprite",G193)),ISNUMBER(SEARCH("aliexpress",G193))),"Revisar foto","OK"))</x:f>
        <x:v>Sem foto</x:v>
      </x:c>
      <x:c r="J193" s="28"/>
      <x:c r="K193" s="30"/>
      <x:c r="L193" s="30"/>
      <x:c r="M193" s="30" t="str">
        <x:f>IF(K193="","",K193+IF(L193="",0,L193))</x:f>
      </x:c>
      <x:c r="N193" s="30"/>
      <x:c r="O193" s="30" t="str">
        <x:f>IF(OR(N193="",M193=""),"",N193-M193)</x:f>
      </x:c>
      <x:c r="P193" s="29" t="str">
        <x:f>IF(OR(N193="",O193=""),"",O193/N193)</x:f>
      </x:c>
      <x:c r="Q193" s="28"/>
      <x:c r="R193" s="28"/>
      <x:c r="S193" s="28"/>
      <x:c r="T193" s="28"/>
      <x:c r="U193" s="28"/>
      <x:c r="V193" s="32"/>
      <x:c r="W193" s="28" t="str">
        <x:f>IF(OR(ISNUMBER(SEARCH("aliexpress",D193)),ISNUMBER(SEARCH("aliexpress",X193))),"Revisar mencao","OK")</x:f>
        <x:v>OK</x:v>
      </x:c>
      <x:c r="X193" s="28"/>
    </x:row>
    <x:row r="194">
      <x:c r="A194" s="28"/>
      <x:c r="B194" s="28"/>
      <x:c r="C194" s="28"/>
      <x:c r="D194" s="28"/>
      <x:c r="E194" s="28" t="str">
        <x:f>IF(D194="","",TRIM(SUBSTITUTE(SUBSTITUTE(SUBSTITUTE(SUBSTITUTE(D194,"AliExpress",""),"aliexpress",""),"ALIEXPRESS",""),"Choice","")))</x:f>
      </x:c>
      <x:c r="F194" s="28"/>
      <x:c r="G194" s="28"/>
      <x:c r="H194" s="28" t="str">
        <x:f>IF(G194="","",HYPERLINK(G194,"Abrir foto"))</x:f>
      </x:c>
      <x:c r="I194" s="28" t="str">
        <x:f>IF(G194="","Sem foto",IF(OR(ISNUMBER(SEARCH("logo",G194)),ISNUMBER(SEARCH("sprite",G194)),ISNUMBER(SEARCH("aliexpress",G194))),"Revisar foto","OK"))</x:f>
        <x:v>Sem foto</x:v>
      </x:c>
      <x:c r="J194" s="28"/>
      <x:c r="K194" s="30"/>
      <x:c r="L194" s="30"/>
      <x:c r="M194" s="30" t="str">
        <x:f>IF(K194="","",K194+IF(L194="",0,L194))</x:f>
      </x:c>
      <x:c r="N194" s="30"/>
      <x:c r="O194" s="30" t="str">
        <x:f>IF(OR(N194="",M194=""),"",N194-M194)</x:f>
      </x:c>
      <x:c r="P194" s="29" t="str">
        <x:f>IF(OR(N194="",O194=""),"",O194/N194)</x:f>
      </x:c>
      <x:c r="Q194" s="28"/>
      <x:c r="R194" s="28"/>
      <x:c r="S194" s="28"/>
      <x:c r="T194" s="28"/>
      <x:c r="U194" s="28"/>
      <x:c r="V194" s="32"/>
      <x:c r="W194" s="28" t="str">
        <x:f>IF(OR(ISNUMBER(SEARCH("aliexpress",D194)),ISNUMBER(SEARCH("aliexpress",X194))),"Revisar mencao","OK")</x:f>
        <x:v>OK</x:v>
      </x:c>
      <x:c r="X194" s="28"/>
    </x:row>
    <x:row r="195">
      <x:c r="A195" s="28"/>
      <x:c r="B195" s="28"/>
      <x:c r="C195" s="28"/>
      <x:c r="D195" s="28"/>
      <x:c r="E195" s="28" t="str">
        <x:f>IF(D195="","",TRIM(SUBSTITUTE(SUBSTITUTE(SUBSTITUTE(SUBSTITUTE(D195,"AliExpress",""),"aliexpress",""),"ALIEXPRESS",""),"Choice","")))</x:f>
      </x:c>
      <x:c r="F195" s="28"/>
      <x:c r="G195" s="28"/>
      <x:c r="H195" s="28" t="str">
        <x:f>IF(G195="","",HYPERLINK(G195,"Abrir foto"))</x:f>
      </x:c>
      <x:c r="I195" s="28" t="str">
        <x:f>IF(G195="","Sem foto",IF(OR(ISNUMBER(SEARCH("logo",G195)),ISNUMBER(SEARCH("sprite",G195)),ISNUMBER(SEARCH("aliexpress",G195))),"Revisar foto","OK"))</x:f>
        <x:v>Sem foto</x:v>
      </x:c>
      <x:c r="J195" s="28"/>
      <x:c r="K195" s="30"/>
      <x:c r="L195" s="30"/>
      <x:c r="M195" s="30" t="str">
        <x:f>IF(K195="","",K195+IF(L195="",0,L195))</x:f>
      </x:c>
      <x:c r="N195" s="30"/>
      <x:c r="O195" s="30" t="str">
        <x:f>IF(OR(N195="",M195=""),"",N195-M195)</x:f>
      </x:c>
      <x:c r="P195" s="29" t="str">
        <x:f>IF(OR(N195="",O195=""),"",O195/N195)</x:f>
      </x:c>
      <x:c r="Q195" s="28"/>
      <x:c r="R195" s="28"/>
      <x:c r="S195" s="28"/>
      <x:c r="T195" s="28"/>
      <x:c r="U195" s="28"/>
      <x:c r="V195" s="32"/>
      <x:c r="W195" s="28" t="str">
        <x:f>IF(OR(ISNUMBER(SEARCH("aliexpress",D195)),ISNUMBER(SEARCH("aliexpress",X195))),"Revisar mencao","OK")</x:f>
        <x:v>OK</x:v>
      </x:c>
      <x:c r="X195" s="28"/>
    </x:row>
    <x:row r="196">
      <x:c r="A196" s="28"/>
      <x:c r="B196" s="28"/>
      <x:c r="C196" s="28"/>
      <x:c r="D196" s="28"/>
      <x:c r="E196" s="28" t="str">
        <x:f>IF(D196="","",TRIM(SUBSTITUTE(SUBSTITUTE(SUBSTITUTE(SUBSTITUTE(D196,"AliExpress",""),"aliexpress",""),"ALIEXPRESS",""),"Choice","")))</x:f>
      </x:c>
      <x:c r="F196" s="28"/>
      <x:c r="G196" s="28"/>
      <x:c r="H196" s="28" t="str">
        <x:f>IF(G196="","",HYPERLINK(G196,"Abrir foto"))</x:f>
      </x:c>
      <x:c r="I196" s="28" t="str">
        <x:f>IF(G196="","Sem foto",IF(OR(ISNUMBER(SEARCH("logo",G196)),ISNUMBER(SEARCH("sprite",G196)),ISNUMBER(SEARCH("aliexpress",G196))),"Revisar foto","OK"))</x:f>
        <x:v>Sem foto</x:v>
      </x:c>
      <x:c r="J196" s="28"/>
      <x:c r="K196" s="30"/>
      <x:c r="L196" s="30"/>
      <x:c r="M196" s="30" t="str">
        <x:f>IF(K196="","",K196+IF(L196="",0,L196))</x:f>
      </x:c>
      <x:c r="N196" s="30"/>
      <x:c r="O196" s="30" t="str">
        <x:f>IF(OR(N196="",M196=""),"",N196-M196)</x:f>
      </x:c>
      <x:c r="P196" s="29" t="str">
        <x:f>IF(OR(N196="",O196=""),"",O196/N196)</x:f>
      </x:c>
      <x:c r="Q196" s="28"/>
      <x:c r="R196" s="28"/>
      <x:c r="S196" s="28"/>
      <x:c r="T196" s="28"/>
      <x:c r="U196" s="28"/>
      <x:c r="V196" s="32"/>
      <x:c r="W196" s="28" t="str">
        <x:f>IF(OR(ISNUMBER(SEARCH("aliexpress",D196)),ISNUMBER(SEARCH("aliexpress",X196))),"Revisar mencao","OK")</x:f>
        <x:v>OK</x:v>
      </x:c>
      <x:c r="X196" s="28"/>
    </x:row>
    <x:row r="197">
      <x:c r="A197" s="28"/>
      <x:c r="B197" s="28"/>
      <x:c r="C197" s="28"/>
      <x:c r="D197" s="28"/>
      <x:c r="E197" s="28" t="str">
        <x:f>IF(D197="","",TRIM(SUBSTITUTE(SUBSTITUTE(SUBSTITUTE(SUBSTITUTE(D197,"AliExpress",""),"aliexpress",""),"ALIEXPRESS",""),"Choice","")))</x:f>
      </x:c>
      <x:c r="F197" s="28"/>
      <x:c r="G197" s="28"/>
      <x:c r="H197" s="28" t="str">
        <x:f>IF(G197="","",HYPERLINK(G197,"Abrir foto"))</x:f>
      </x:c>
      <x:c r="I197" s="28" t="str">
        <x:f>IF(G197="","Sem foto",IF(OR(ISNUMBER(SEARCH("logo",G197)),ISNUMBER(SEARCH("sprite",G197)),ISNUMBER(SEARCH("aliexpress",G197))),"Revisar foto","OK"))</x:f>
        <x:v>Sem foto</x:v>
      </x:c>
      <x:c r="J197" s="28"/>
      <x:c r="K197" s="30"/>
      <x:c r="L197" s="30"/>
      <x:c r="M197" s="30" t="str">
        <x:f>IF(K197="","",K197+IF(L197="",0,L197))</x:f>
      </x:c>
      <x:c r="N197" s="30"/>
      <x:c r="O197" s="30" t="str">
        <x:f>IF(OR(N197="",M197=""),"",N197-M197)</x:f>
      </x:c>
      <x:c r="P197" s="29" t="str">
        <x:f>IF(OR(N197="",O197=""),"",O197/N197)</x:f>
      </x:c>
      <x:c r="Q197" s="28"/>
      <x:c r="R197" s="28"/>
      <x:c r="S197" s="28"/>
      <x:c r="T197" s="28"/>
      <x:c r="U197" s="28"/>
      <x:c r="V197" s="32"/>
      <x:c r="W197" s="28" t="str">
        <x:f>IF(OR(ISNUMBER(SEARCH("aliexpress",D197)),ISNUMBER(SEARCH("aliexpress",X197))),"Revisar mencao","OK")</x:f>
        <x:v>OK</x:v>
      </x:c>
      <x:c r="X197" s="28"/>
    </x:row>
    <x:row r="198">
      <x:c r="A198" s="28"/>
      <x:c r="B198" s="28"/>
      <x:c r="C198" s="28"/>
      <x:c r="D198" s="28"/>
      <x:c r="E198" s="28" t="str">
        <x:f>IF(D198="","",TRIM(SUBSTITUTE(SUBSTITUTE(SUBSTITUTE(SUBSTITUTE(D198,"AliExpress",""),"aliexpress",""),"ALIEXPRESS",""),"Choice","")))</x:f>
      </x:c>
      <x:c r="F198" s="28"/>
      <x:c r="G198" s="28"/>
      <x:c r="H198" s="28" t="str">
        <x:f>IF(G198="","",HYPERLINK(G198,"Abrir foto"))</x:f>
      </x:c>
      <x:c r="I198" s="28" t="str">
        <x:f>IF(G198="","Sem foto",IF(OR(ISNUMBER(SEARCH("logo",G198)),ISNUMBER(SEARCH("sprite",G198)),ISNUMBER(SEARCH("aliexpress",G198))),"Revisar foto","OK"))</x:f>
        <x:v>Sem foto</x:v>
      </x:c>
      <x:c r="J198" s="28"/>
      <x:c r="K198" s="30"/>
      <x:c r="L198" s="30"/>
      <x:c r="M198" s="30" t="str">
        <x:f>IF(K198="","",K198+IF(L198="",0,L198))</x:f>
      </x:c>
      <x:c r="N198" s="30"/>
      <x:c r="O198" s="30" t="str">
        <x:f>IF(OR(N198="",M198=""),"",N198-M198)</x:f>
      </x:c>
      <x:c r="P198" s="29" t="str">
        <x:f>IF(OR(N198="",O198=""),"",O198/N198)</x:f>
      </x:c>
      <x:c r="Q198" s="28"/>
      <x:c r="R198" s="28"/>
      <x:c r="S198" s="28"/>
      <x:c r="T198" s="28"/>
      <x:c r="U198" s="28"/>
      <x:c r="V198" s="32"/>
      <x:c r="W198" s="28" t="str">
        <x:f>IF(OR(ISNUMBER(SEARCH("aliexpress",D198)),ISNUMBER(SEARCH("aliexpress",X198))),"Revisar mencao","OK")</x:f>
        <x:v>OK</x:v>
      </x:c>
      <x:c r="X198" s="28"/>
    </x:row>
    <x:row r="199">
      <x:c r="A199" s="28"/>
      <x:c r="B199" s="28"/>
      <x:c r="C199" s="28"/>
      <x:c r="D199" s="28"/>
      <x:c r="E199" s="28" t="str">
        <x:f>IF(D199="","",TRIM(SUBSTITUTE(SUBSTITUTE(SUBSTITUTE(SUBSTITUTE(D199,"AliExpress",""),"aliexpress",""),"ALIEXPRESS",""),"Choice","")))</x:f>
      </x:c>
      <x:c r="F199" s="28"/>
      <x:c r="G199" s="28"/>
      <x:c r="H199" s="28" t="str">
        <x:f>IF(G199="","",HYPERLINK(G199,"Abrir foto"))</x:f>
      </x:c>
      <x:c r="I199" s="28" t="str">
        <x:f>IF(G199="","Sem foto",IF(OR(ISNUMBER(SEARCH("logo",G199)),ISNUMBER(SEARCH("sprite",G199)),ISNUMBER(SEARCH("aliexpress",G199))),"Revisar foto","OK"))</x:f>
        <x:v>Sem foto</x:v>
      </x:c>
      <x:c r="J199" s="28"/>
      <x:c r="K199" s="30"/>
      <x:c r="L199" s="30"/>
      <x:c r="M199" s="30" t="str">
        <x:f>IF(K199="","",K199+IF(L199="",0,L199))</x:f>
      </x:c>
      <x:c r="N199" s="30"/>
      <x:c r="O199" s="30" t="str">
        <x:f>IF(OR(N199="",M199=""),"",N199-M199)</x:f>
      </x:c>
      <x:c r="P199" s="29" t="str">
        <x:f>IF(OR(N199="",O199=""),"",O199/N199)</x:f>
      </x:c>
      <x:c r="Q199" s="28"/>
      <x:c r="R199" s="28"/>
      <x:c r="S199" s="28"/>
      <x:c r="T199" s="28"/>
      <x:c r="U199" s="28"/>
      <x:c r="V199" s="32"/>
      <x:c r="W199" s="28" t="str">
        <x:f>IF(OR(ISNUMBER(SEARCH("aliexpress",D199)),ISNUMBER(SEARCH("aliexpress",X199))),"Revisar mencao","OK")</x:f>
        <x:v>OK</x:v>
      </x:c>
      <x:c r="X199" s="28"/>
    </x:row>
    <x:row r="200">
      <x:c r="A200" s="28"/>
      <x:c r="B200" s="28"/>
      <x:c r="C200" s="28"/>
      <x:c r="D200" s="28"/>
      <x:c r="E200" s="28" t="str">
        <x:f>IF(D200="","",TRIM(SUBSTITUTE(SUBSTITUTE(SUBSTITUTE(SUBSTITUTE(D200,"AliExpress",""),"aliexpress",""),"ALIEXPRESS",""),"Choice","")))</x:f>
      </x:c>
      <x:c r="F200" s="28"/>
      <x:c r="G200" s="28"/>
      <x:c r="H200" s="28" t="str">
        <x:f>IF(G200="","",HYPERLINK(G200,"Abrir foto"))</x:f>
      </x:c>
      <x:c r="I200" s="28" t="str">
        <x:f>IF(G200="","Sem foto",IF(OR(ISNUMBER(SEARCH("logo",G200)),ISNUMBER(SEARCH("sprite",G200)),ISNUMBER(SEARCH("aliexpress",G200))),"Revisar foto","OK"))</x:f>
        <x:v>Sem foto</x:v>
      </x:c>
      <x:c r="J200" s="28"/>
      <x:c r="K200" s="30"/>
      <x:c r="L200" s="30"/>
      <x:c r="M200" s="30" t="str">
        <x:f>IF(K200="","",K200+IF(L200="",0,L200))</x:f>
      </x:c>
      <x:c r="N200" s="30"/>
      <x:c r="O200" s="30" t="str">
        <x:f>IF(OR(N200="",M200=""),"",N200-M200)</x:f>
      </x:c>
      <x:c r="P200" s="29" t="str">
        <x:f>IF(OR(N200="",O200=""),"",O200/N200)</x:f>
      </x:c>
      <x:c r="Q200" s="28"/>
      <x:c r="R200" s="28"/>
      <x:c r="S200" s="28"/>
      <x:c r="T200" s="28"/>
      <x:c r="U200" s="28"/>
      <x:c r="V200" s="32"/>
      <x:c r="W200" s="28" t="str">
        <x:f>IF(OR(ISNUMBER(SEARCH("aliexpress",D200)),ISNUMBER(SEARCH("aliexpress",X200))),"Revisar mencao","OK")</x:f>
        <x:v>OK</x:v>
      </x:c>
      <x:c r="X200" s="28"/>
    </x:row>
    <x:row r="201">
      <x:c r="A201" s="28"/>
      <x:c r="B201" s="28"/>
      <x:c r="C201" s="28"/>
      <x:c r="D201" s="28"/>
      <x:c r="E201" s="28" t="str">
        <x:f>IF(D201="","",TRIM(SUBSTITUTE(SUBSTITUTE(SUBSTITUTE(SUBSTITUTE(D201,"AliExpress",""),"aliexpress",""),"ALIEXPRESS",""),"Choice","")))</x:f>
      </x:c>
      <x:c r="F201" s="28"/>
      <x:c r="G201" s="28"/>
      <x:c r="H201" s="28" t="str">
        <x:f>IF(G201="","",HYPERLINK(G201,"Abrir foto"))</x:f>
      </x:c>
      <x:c r="I201" s="28" t="str">
        <x:f>IF(G201="","Sem foto",IF(OR(ISNUMBER(SEARCH("logo",G201)),ISNUMBER(SEARCH("sprite",G201)),ISNUMBER(SEARCH("aliexpress",G201))),"Revisar foto","OK"))</x:f>
        <x:v>Sem foto</x:v>
      </x:c>
      <x:c r="J201" s="28"/>
      <x:c r="K201" s="30"/>
      <x:c r="L201" s="30"/>
      <x:c r="M201" s="30" t="str">
        <x:f>IF(K201="","",K201+IF(L201="",0,L201))</x:f>
      </x:c>
      <x:c r="N201" s="30"/>
      <x:c r="O201" s="30" t="str">
        <x:f>IF(OR(N201="",M201=""),"",N201-M201)</x:f>
      </x:c>
      <x:c r="P201" s="29" t="str">
        <x:f>IF(OR(N201="",O201=""),"",O201/N201)</x:f>
      </x:c>
      <x:c r="Q201" s="28"/>
      <x:c r="R201" s="28"/>
      <x:c r="S201" s="28"/>
      <x:c r="T201" s="28"/>
      <x:c r="U201" s="28"/>
      <x:c r="V201" s="32"/>
      <x:c r="W201" s="28" t="str">
        <x:f>IF(OR(ISNUMBER(SEARCH("aliexpress",D201)),ISNUMBER(SEARCH("aliexpress",X201))),"Revisar mencao","OK")</x:f>
        <x:v>OK</x:v>
      </x:c>
      <x:c r="X201" s="28"/>
    </x:row>
    <x:row r="202">
      <x:c r="A202" s="28"/>
      <x:c r="B202" s="28"/>
      <x:c r="C202" s="28"/>
      <x:c r="D202" s="28"/>
      <x:c r="E202" s="28" t="str">
        <x:f>IF(D202="","",TRIM(SUBSTITUTE(SUBSTITUTE(SUBSTITUTE(SUBSTITUTE(D202,"AliExpress",""),"aliexpress",""),"ALIEXPRESS",""),"Choice","")))</x:f>
      </x:c>
      <x:c r="F202" s="28"/>
      <x:c r="G202" s="28"/>
      <x:c r="H202" s="28" t="str">
        <x:f>IF(G202="","",HYPERLINK(G202,"Abrir foto"))</x:f>
      </x:c>
      <x:c r="I202" s="28" t="str">
        <x:f>IF(G202="","Sem foto",IF(OR(ISNUMBER(SEARCH("logo",G202)),ISNUMBER(SEARCH("sprite",G202)),ISNUMBER(SEARCH("aliexpress",G202))),"Revisar foto","OK"))</x:f>
        <x:v>Sem foto</x:v>
      </x:c>
      <x:c r="J202" s="28"/>
      <x:c r="K202" s="30"/>
      <x:c r="L202" s="30"/>
      <x:c r="M202" s="30" t="str">
        <x:f>IF(K202="","",K202+IF(L202="",0,L202))</x:f>
      </x:c>
      <x:c r="N202" s="30"/>
      <x:c r="O202" s="30" t="str">
        <x:f>IF(OR(N202="",M202=""),"",N202-M202)</x:f>
      </x:c>
      <x:c r="P202" s="29" t="str">
        <x:f>IF(OR(N202="",O202=""),"",O202/N202)</x:f>
      </x:c>
      <x:c r="Q202" s="28"/>
      <x:c r="R202" s="28"/>
      <x:c r="S202" s="28"/>
      <x:c r="T202" s="28"/>
      <x:c r="U202" s="28"/>
      <x:c r="V202" s="32"/>
      <x:c r="W202" s="28" t="str">
        <x:f>IF(OR(ISNUMBER(SEARCH("aliexpress",D202)),ISNUMBER(SEARCH("aliexpress",X202))),"Revisar mencao","OK")</x:f>
        <x:v>OK</x:v>
      </x:c>
      <x:c r="X202" s="28"/>
    </x:row>
    <x:row r="203">
      <x:c r="A203" s="28"/>
      <x:c r="B203" s="28"/>
      <x:c r="C203" s="28"/>
      <x:c r="D203" s="28"/>
      <x:c r="E203" s="28" t="str">
        <x:f>IF(D203="","",TRIM(SUBSTITUTE(SUBSTITUTE(SUBSTITUTE(SUBSTITUTE(D203,"AliExpress",""),"aliexpress",""),"ALIEXPRESS",""),"Choice","")))</x:f>
      </x:c>
      <x:c r="F203" s="28"/>
      <x:c r="G203" s="28"/>
      <x:c r="H203" s="28" t="str">
        <x:f>IF(G203="","",HYPERLINK(G203,"Abrir foto"))</x:f>
      </x:c>
      <x:c r="I203" s="28" t="str">
        <x:f>IF(G203="","Sem foto",IF(OR(ISNUMBER(SEARCH("logo",G203)),ISNUMBER(SEARCH("sprite",G203)),ISNUMBER(SEARCH("aliexpress",G203))),"Revisar foto","OK"))</x:f>
        <x:v>Sem foto</x:v>
      </x:c>
      <x:c r="J203" s="28"/>
      <x:c r="K203" s="30"/>
      <x:c r="L203" s="30"/>
      <x:c r="M203" s="30" t="str">
        <x:f>IF(K203="","",K203+IF(L203="",0,L203))</x:f>
      </x:c>
      <x:c r="N203" s="30"/>
      <x:c r="O203" s="30" t="str">
        <x:f>IF(OR(N203="",M203=""),"",N203-M203)</x:f>
      </x:c>
      <x:c r="P203" s="29" t="str">
        <x:f>IF(OR(N203="",O203=""),"",O203/N203)</x:f>
      </x:c>
      <x:c r="Q203" s="28"/>
      <x:c r="R203" s="28"/>
      <x:c r="S203" s="28"/>
      <x:c r="T203" s="28"/>
      <x:c r="U203" s="28"/>
      <x:c r="V203" s="32"/>
      <x:c r="W203" s="28" t="str">
        <x:f>IF(OR(ISNUMBER(SEARCH("aliexpress",D203)),ISNUMBER(SEARCH("aliexpress",X203))),"Revisar mencao","OK")</x:f>
        <x:v>OK</x:v>
      </x:c>
      <x:c r="X203" s="28"/>
    </x:row>
    <x:row r="204">
      <x:c r="A204" s="28"/>
      <x:c r="B204" s="28"/>
      <x:c r="C204" s="28"/>
      <x:c r="D204" s="28"/>
      <x:c r="E204" s="28" t="str">
        <x:f>IF(D204="","",TRIM(SUBSTITUTE(SUBSTITUTE(SUBSTITUTE(SUBSTITUTE(D204,"AliExpress",""),"aliexpress",""),"ALIEXPRESS",""),"Choice","")))</x:f>
      </x:c>
      <x:c r="F204" s="28"/>
      <x:c r="G204" s="28"/>
      <x:c r="H204" s="28" t="str">
        <x:f>IF(G204="","",HYPERLINK(G204,"Abrir foto"))</x:f>
      </x:c>
      <x:c r="I204" s="28" t="str">
        <x:f>IF(G204="","Sem foto",IF(OR(ISNUMBER(SEARCH("logo",G204)),ISNUMBER(SEARCH("sprite",G204)),ISNUMBER(SEARCH("aliexpress",G204))),"Revisar foto","OK"))</x:f>
        <x:v>Sem foto</x:v>
      </x:c>
      <x:c r="J204" s="28"/>
      <x:c r="K204" s="30"/>
      <x:c r="L204" s="30"/>
      <x:c r="M204" s="30" t="str">
        <x:f>IF(K204="","",K204+IF(L204="",0,L204))</x:f>
      </x:c>
      <x:c r="N204" s="30"/>
      <x:c r="O204" s="30" t="str">
        <x:f>IF(OR(N204="",M204=""),"",N204-M204)</x:f>
      </x:c>
      <x:c r="P204" s="29" t="str">
        <x:f>IF(OR(N204="",O204=""),"",O204/N204)</x:f>
      </x:c>
      <x:c r="Q204" s="28"/>
      <x:c r="R204" s="28"/>
      <x:c r="S204" s="28"/>
      <x:c r="T204" s="28"/>
      <x:c r="U204" s="28"/>
      <x:c r="V204" s="32"/>
      <x:c r="W204" s="28" t="str">
        <x:f>IF(OR(ISNUMBER(SEARCH("aliexpress",D204)),ISNUMBER(SEARCH("aliexpress",X204))),"Revisar mencao","OK")</x:f>
        <x:v>OK</x:v>
      </x:c>
      <x:c r="X204" s="28"/>
    </x:row>
    <x:row r="205">
      <x:c r="A205" s="28"/>
      <x:c r="B205" s="28"/>
      <x:c r="C205" s="28"/>
      <x:c r="D205" s="28"/>
      <x:c r="E205" s="28" t="str">
        <x:f>IF(D205="","",TRIM(SUBSTITUTE(SUBSTITUTE(SUBSTITUTE(SUBSTITUTE(D205,"AliExpress",""),"aliexpress",""),"ALIEXPRESS",""),"Choice","")))</x:f>
      </x:c>
      <x:c r="F205" s="28"/>
      <x:c r="G205" s="28"/>
      <x:c r="H205" s="28" t="str">
        <x:f>IF(G205="","",HYPERLINK(G205,"Abrir foto"))</x:f>
      </x:c>
      <x:c r="I205" s="28" t="str">
        <x:f>IF(G205="","Sem foto",IF(OR(ISNUMBER(SEARCH("logo",G205)),ISNUMBER(SEARCH("sprite",G205)),ISNUMBER(SEARCH("aliexpress",G205))),"Revisar foto","OK"))</x:f>
        <x:v>Sem foto</x:v>
      </x:c>
      <x:c r="J205" s="28"/>
      <x:c r="K205" s="30"/>
      <x:c r="L205" s="30"/>
      <x:c r="M205" s="30" t="str">
        <x:f>IF(K205="","",K205+IF(L205="",0,L205))</x:f>
      </x:c>
      <x:c r="N205" s="30"/>
      <x:c r="O205" s="30" t="str">
        <x:f>IF(OR(N205="",M205=""),"",N205-M205)</x:f>
      </x:c>
      <x:c r="P205" s="29" t="str">
        <x:f>IF(OR(N205="",O205=""),"",O205/N205)</x:f>
      </x:c>
      <x:c r="Q205" s="28"/>
      <x:c r="R205" s="28"/>
      <x:c r="S205" s="28"/>
      <x:c r="T205" s="28"/>
      <x:c r="U205" s="28"/>
      <x:c r="V205" s="32"/>
      <x:c r="W205" s="28" t="str">
        <x:f>IF(OR(ISNUMBER(SEARCH("aliexpress",D205)),ISNUMBER(SEARCH("aliexpress",X205))),"Revisar mencao","OK")</x:f>
        <x:v>OK</x:v>
      </x:c>
      <x:c r="X205" s="28"/>
    </x:row>
  </x:sheetData>
  <x:mergeCells>
    <x:mergeCell ref="A1:X1"/>
    <x:mergeCell ref="A2:X3"/>
  </x:mergeCells>
  <x:dataValidations count="1">
    <x:dataValidation type="list" sqref="A6:A205">
      <x:formula1>"Para validar,Aprovado,Reprovado,Comprar teste"</x:formula1>
    </x:dataValidation>
  </x:dataValidations>
  <x:pageMargins left="0.7" right="0.7" top="0.75" bottom="0.75" header="0.3" footer="0.3"/>
  <x:tableParts count="1">
    <x:tablePart xmlns:r="http://schemas.openxmlformats.org/officeDocument/2006/relationships" r:id="Re99287c1595a45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5" hidden="0" customWidth="1"/>
    <x:col min="2" max="2" width="32.5" hidden="0" customWidth="1"/>
    <x:col min="3" max="3" width="16.25" hidden="0" customWidth="1"/>
    <x:col min="4" max="4" width="47.5" hidden="0" customWidth="1"/>
    <x:col min="5" max="5" width="45" hidden="0" customWidth="1"/>
    <x:col min="6" max="6" width="15" hidden="0" customWidth="1"/>
    <x:col min="7" max="7" width="15" hidden="0" customWidth="1"/>
    <x:col min="8" max="8" width="11.880000114440918" hidden="0" customWidth="1"/>
    <x:col min="9" max="9" width="12.5" hidden="0" customWidth="1"/>
    <x:col min="10" max="10" width="47.5" hidden="0" customWidth="1"/>
  </x:cols>
  <x:sheetData>
    <x:row r="1">
      <x:c r="A1" s="26" t="str">
        <x:v>Buscas prontas para AliExpress</x:v>
      </x:c>
      <x:c r="B1" s="26" t="str">
        <x:v>Buscas prontas para AliExpress</x:v>
      </x:c>
      <x:c r="C1" s="26" t="str">
        <x:v>Buscas prontas para AliExpress</x:v>
      </x:c>
      <x:c r="D1" s="26" t="str">
        <x:v>Buscas prontas para AliExpress</x:v>
      </x:c>
      <x:c r="E1" s="26" t="str">
        <x:v>Buscas prontas para AliExpress</x:v>
      </x:c>
      <x:c r="F1" s="26" t="str">
        <x:v>Buscas prontas para AliExpress</x:v>
      </x:c>
      <x:c r="G1" s="26" t="str">
        <x:v>Buscas prontas para AliExpress</x:v>
      </x:c>
      <x:c r="H1" s="26" t="str">
        <x:v>Buscas prontas para AliExpress</x:v>
      </x:c>
      <x:c r="I1" s="26" t="str">
        <x:v>Buscas prontas para AliExpress</x:v>
      </x:c>
      <x:c r="J1" s="26" t="str">
        <x:v>Buscas prontas para AliExpress</x:v>
      </x:c>
    </x:row>
    <x:row r="2">
      <x:c r="A2" s="27"/>
      <x:c r="B2" s="27"/>
      <x:c r="C2" s="27"/>
      <x:c r="D2" s="27"/>
      <x:c r="E2" s="27"/>
      <x:c r="F2" s="27"/>
      <x:c r="G2" s="27"/>
      <x:c r="H2" s="27"/>
      <x:c r="I2" s="27"/>
      <x:c r="J2" s="27"/>
    </x:row>
    <x:row r="3">
      <x:c r="A3" s="11" t="str">
        <x:v>SKU</x:v>
      </x:c>
      <x:c r="B3" s="11" t="str">
        <x:v>Produto do site</x:v>
      </x:c>
      <x:c r="C3" s="11" t="str">
        <x:v>Categoria</x:v>
      </x:c>
      <x:c r="D3" s="11" t="str">
        <x:v>URL de busca</x:v>
      </x:c>
      <x:c r="E3" s="11" t="str">
        <x:v>Busca alternativa</x:v>
      </x:c>
      <x:c r="F3" s="11" t="str">
        <x:v>Preco venda BRL</x:v>
      </x:c>
      <x:c r="G3" s="11" t="str">
        <x:v>Custo alvo BRL</x:v>
      </x:c>
      <x:c r="H3" s="11" t="str">
        <x:v>Margem alvo</x:v>
      </x:c>
      <x:c r="I3" s="11" t="str">
        <x:v>Abrir busca</x:v>
      </x:c>
      <x:c r="J3" s="11" t="str">
        <x:v>Observacoes</x:v>
      </x:c>
    </x:row>
    <x:row r="4">
      <x:c r="A4" s="28" t="str">
        <x:v>MLA-MAN-FRESHGO-01</x:v>
      </x:c>
      <x:c r="B4" s="28" t="str">
        <x:v>Liquidificador Portatil USB 380 ml</x:v>
      </x:c>
      <x:c r="C4" s="28" t="str">
        <x:v>Casa</x:v>
      </x:c>
      <x:c r="D4" s="28" t="str">
        <x:v>https://www.aliexpress.com/wholesale?SearchText=portable+usb+blender+380ml</x:v>
      </x:c>
      <x:c r="E4" s="28" t="str">
        <x:v>https://www.aliexpress.com/wholesale?SearchText=portable+usb+blender+380ml</x:v>
      </x:c>
      <x:c r="F4" s="30" t="n">
        <x:v>89.9</x:v>
      </x:c>
      <x:c r="G4" s="30" t="n">
        <x:v>42</x:v>
      </x:c>
      <x:c r="H4" s="31" t="n">
        <x:v>0.53</x:v>
      </x:c>
      <x:c r="I4" s="28" t="e">
        <x:f>HYPERLINK("https://www.aliexpress.com/wholesale?SearchText=portable+usb+blender+380ml","Abrir busca")</x:f>
        <x:v>HYPERLINK is not implemented. linkLocation=https://www.aliexpress.com/wholesale?SearchText=portable+usb+blender+380ml, friendlyName=Abrir busca</x:v>
      </x:c>
      <x:c r="J4" s="28" t="str">
        <x:v>Validar avaliacoes acima de 4.7 e envio com rastreio antes de comprar</x:v>
      </x:c>
    </x:row>
    <x:row r="5">
      <x:c r="A5" s="28" t="str">
        <x:v>MLA-MAN-GLOWCARE-02</x:v>
      </x:c>
      <x:c r="B5" s="28" t="str">
        <x:v>Escova Facial Eletrica de Silicone</x:v>
      </x:c>
      <x:c r="C5" s="28" t="str">
        <x:v>Beleza</x:v>
      </x:c>
      <x:c r="D5" s="28" t="str">
        <x:v>https://www.aliexpress.com/wholesale?SearchText=silicone+facial+cleansing+brush+electric</x:v>
      </x:c>
      <x:c r="E5" s="28" t="str">
        <x:v>https://www.aliexpress.com/wholesale?SearchText=silicone+facial+cleansing+brush+electric</x:v>
      </x:c>
      <x:c r="F5" s="30" t="n">
        <x:v>119.9</x:v>
      </x:c>
      <x:c r="G5" s="30" t="n">
        <x:v>56</x:v>
      </x:c>
      <x:c r="H5" s="31" t="n">
        <x:v>0.53</x:v>
      </x:c>
      <x:c r="I5" s="28" t="e">
        <x:f>HYPERLINK("https://www.aliexpress.com/wholesale?SearchText=silicone+facial+cleansing+brush+electric","Abrir busca")</x:f>
        <x:v>HYPERLINK is not implemented. linkLocation=https://www.aliexpress.com/wholesale?SearchText=silicone+facial+cleansing+brush+electric, friendlyName=Abrir busca</x:v>
      </x:c>
      <x:c r="J5" s="28" t="str">
        <x:v>Escolher anuncio com fotos reais do produto e variantes de cor claras</x:v>
      </x:c>
    </x:row>
    <x:row r="6">
      <x:c r="A6" s="28" t="str">
        <x:v>MLA-MAN-FLOW-03</x:v>
      </x:c>
      <x:c r="B6" s="28" t="str">
        <x:v>Garrafa Termica Inox 1L com Alca</x:v>
      </x:c>
      <x:c r="C6" s="28" t="str">
        <x:v>Casa</x:v>
      </x:c>
      <x:c r="D6" s="28" t="str">
        <x:v>https://www.aliexpress.com/wholesale?SearchText=1l+stainless+steel+vacuum+flask+with+handle</x:v>
      </x:c>
      <x:c r="E6" s="28" t="str">
        <x:v>https://www.aliexpress.com/wholesale?SearchText=1l+stainless+steel+vacuum+flask+with+handle</x:v>
      </x:c>
      <x:c r="F6" s="30" t="n">
        <x:v>79.9</x:v>
      </x:c>
      <x:c r="G6" s="30" t="n">
        <x:v>37</x:v>
      </x:c>
      <x:c r="H6" s="31" t="n">
        <x:v>0.54</x:v>
      </x:c>
      <x:c r="I6" s="28" t="e">
        <x:f>HYPERLINK("https://www.aliexpress.com/wholesale?SearchText=1l+stainless+steel+vacuum+flask+with+handle","Abrir busca")</x:f>
        <x:v>HYPERLINK is not implemented. linkLocation=https://www.aliexpress.com/wholesale?SearchText=1l+stainless+steel+vacuum+flask+with+handle, friendlyName=Abrir busca</x:v>
      </x:c>
      <x:c r="J6" s="28" t="str">
        <x:v>Conferir capacidade real de 1L e material inox antes do pedido</x:v>
      </x:c>
    </x:row>
    <x:row r="7">
      <x:c r="A7" s="28" t="str">
        <x:v>MLA-MAN-FITBOX-04</x:v>
      </x:c>
      <x:c r="B7" s="28" t="str">
        <x:v>Caixa Organizadora Dobravel com Tampa</x:v>
      </x:c>
      <x:c r="C7" s="28" t="str">
        <x:v>Organizacao</x:v>
      </x:c>
      <x:c r="D7" s="28" t="str">
        <x:v>https://www.aliexpress.com/wholesale?SearchText=foldable+storage+box+with+lid</x:v>
      </x:c>
      <x:c r="E7" s="28" t="str">
        <x:v>https://www.aliexpress.com/wholesale?SearchText=foldable+storage+box+with+lid</x:v>
      </x:c>
      <x:c r="F7" s="30" t="n">
        <x:v>64.9</x:v>
      </x:c>
      <x:c r="G7" s="30" t="n">
        <x:v>29</x:v>
      </x:c>
      <x:c r="H7" s="31" t="n">
        <x:v>0.55</x:v>
      </x:c>
      <x:c r="I7" s="28" t="e">
        <x:f>HYPERLINK("https://www.aliexpress.com/wholesale?SearchText=foldable+storage+box+with+lid","Abrir busca")</x:f>
        <x:v>HYPERLINK is not implemented. linkLocation=https://www.aliexpress.com/wholesale?SearchText=foldable+storage+box+with+lid, friendlyName=Abrir busca</x:v>
      </x:c>
      <x:c r="J7" s="28" t="str">
        <x:v>Validar medidas e custo de frete porque caixas podem variar muito</x:v>
      </x:c>
    </x:row>
    <x:row r="8">
      <x:c r="A8" s="28" t="str">
        <x:v>MLA-MAN-AIRBEAT-05</x:v>
      </x:c>
      <x:c r="B8" s="28" t="str">
        <x:v>Fone Bluetooth Sem Fio com Estojo</x:v>
      </x:c>
      <x:c r="C8" s="28" t="str">
        <x:v>Tech</x:v>
      </x:c>
      <x:c r="D8" s="28" t="str">
        <x:v>https://www.aliexpress.com/wholesale?SearchText=wireless+bluetooth+earbuds+charging+case+touch</x:v>
      </x:c>
      <x:c r="E8" s="28" t="str">
        <x:v>https://www.aliexpress.com/wholesale?SearchText=wireless+bluetooth+earbuds+charging+case+touch</x:v>
      </x:c>
      <x:c r="F8" s="30" t="n">
        <x:v>99.9</x:v>
      </x:c>
      <x:c r="G8" s="30" t="n">
        <x:v>48</x:v>
      </x:c>
      <x:c r="H8" s="31" t="n">
        <x:v>0.52</x:v>
      </x:c>
      <x:c r="I8" s="28" t="e">
        <x:f>HYPERLINK("https://www.aliexpress.com/wholesale?SearchText=wireless+bluetooth+earbuds+charging+case+touch","Abrir busca")</x:f>
        <x:v>HYPERLINK is not implemented. linkLocation=https://www.aliexpress.com/wholesale?SearchText=wireless+bluetooth+earbuds+charging+case+touch, friendlyName=Abrir busca</x:v>
      </x:c>
      <x:c r="J8" s="28" t="str">
        <x:v>Conferir compatibilidade bluetooth e comentarios sobre bateria</x:v>
      </x:c>
    </x:row>
    <x:row r="9">
      <x:c r="A9" s="28" t="str">
        <x:v>MLA-MAN-MOONMIST-06</x:v>
      </x:c>
      <x:c r="B9" s="28" t="str">
        <x:v>Umidificador de Ar USB com LED</x:v>
      </x:c>
      <x:c r="C9" s="28" t="str">
        <x:v>Casa</x:v>
      </x:c>
      <x:c r="D9" s="28" t="str">
        <x:v>https://www.aliexpress.com/wholesale?SearchText=mini+usb+humidifier+led</x:v>
      </x:c>
      <x:c r="E9" s="28" t="str">
        <x:v>https://www.aliexpress.com/wholesale?SearchText=mini+usb+humidifier+led</x:v>
      </x:c>
      <x:c r="F9" s="30" t="n">
        <x:v>74.9</x:v>
      </x:c>
      <x:c r="G9" s="30" t="n">
        <x:v>34</x:v>
      </x:c>
      <x:c r="H9" s="31" t="n">
        <x:v>0.55</x:v>
      </x:c>
      <x:c r="I9" s="28" t="e">
        <x:f>HYPERLINK("https://www.aliexpress.com/wholesale?SearchText=mini+usb+humidifier+led","Abrir busca")</x:f>
        <x:v>HYPERLINK is not implemented. linkLocation=https://www.aliexpress.com/wholesale?SearchText=mini+usb+humidifier+led, friendlyName=Abrir busca</x:v>
      </x:c>
      <x:c r="J9" s="28" t="str">
        <x:v>Escolher modelo USB e evitar anuncios que prometem aromaterapia sem suporte no produto</x:v>
      </x:c>
    </x:row>
    <x:row r="10">
      <x:c r="A10" s="28" t="str">
        <x:v>MLA-MAN-MAGSTAND-07</x:v>
      </x:c>
      <x:c r="B10" s="28" t="str">
        <x:v>Suporte Magnetico 360 para Celular</x:v>
      </x:c>
      <x:c r="C10" s="28" t="str">
        <x:v>Tech</x:v>
      </x:c>
      <x:c r="D10" s="28" t="str">
        <x:v>https://www.aliexpress.com/wholesale?SearchText=360+magnetic+phone+holder+car+desk</x:v>
      </x:c>
      <x:c r="E10" s="28" t="str">
        <x:v>https://www.aliexpress.com/wholesale?SearchText=360+magnetic+phone+holder+car+desk</x:v>
      </x:c>
      <x:c r="F10" s="30" t="n">
        <x:v>54.9</x:v>
      </x:c>
      <x:c r="G10" s="30" t="n">
        <x:v>23</x:v>
      </x:c>
      <x:c r="H10" s="31" t="n">
        <x:v>0.58</x:v>
      </x:c>
      <x:c r="I10" s="28" t="e">
        <x:f>HYPERLINK("https://www.aliexpress.com/wholesale?SearchText=360+magnetic+phone+holder+car+desk","Abrir busca")</x:f>
        <x:v>HYPERLINK is not implemented. linkLocation=https://www.aliexpress.com/wholesale?SearchText=360+magnetic+phone+holder+car+desk, friendlyName=Abrir busca</x:v>
      </x:c>
      <x:c r="J10" s="28" t="str">
        <x:v>Produto leve; validar se acompanha placa magnetica quando necessario</x:v>
      </x:c>
    </x:row>
    <x:row r="11">
      <x:c r="A11" s="28" t="str">
        <x:v>MLA-MAN-PETFLOW-08</x:v>
      </x:c>
      <x:c r="B11" s="28" t="str">
        <x:v>Fonte Bebedouro Automatico para Pets</x:v>
      </x:c>
      <x:c r="C11" s="28" t="str">
        <x:v>Pets</x:v>
      </x:c>
      <x:c r="D11" s="28" t="str">
        <x:v>https://www.aliexpress.com/wholesale?SearchText=automatic+pet+water+fountain+cat+dog</x:v>
      </x:c>
      <x:c r="E11" s="28" t="str">
        <x:v>https://www.aliexpress.com/wholesale?SearchText=automatic+pet+water+fountain+cat+dog</x:v>
      </x:c>
      <x:c r="F11" s="30" t="n">
        <x:v>149.9</x:v>
      </x:c>
      <x:c r="G11" s="30" t="n">
        <x:v>72</x:v>
      </x:c>
      <x:c r="H11" s="31" t="n">
        <x:v>0.52</x:v>
      </x:c>
      <x:c r="I11" s="28" t="e">
        <x:f>HYPERLINK("https://www.aliexpress.com/wholesale?SearchText=automatic+pet+water+fountain+cat+dog","Abrir busca")</x:f>
        <x:v>HYPERLINK is not implemented. linkLocation=https://www.aliexpress.com/wholesale?SearchText=automatic+pet+water+fountain+cat+dog, friendlyName=Abrir busca</x:v>
      </x:c>
      <x:c r="J11" s="28" t="str">
        <x:v>Conferir tomada USB/fonte e disponibilidade de filtros de reposicao</x:v>
      </x:c>
    </x:row>
  </x:sheetData>
  <x:mergeCells>
    <x:mergeCell ref="A1:J1"/>
  </x:mergeCells>
  <x:pageMargins left="0.7" right="0.7" top="0.75" bottom="0.75" header="0.3" footer="0.3"/>
  <x:tableParts count="1">
    <x:tablePart xmlns:r="http://schemas.openxmlformats.org/officeDocument/2006/relationships" r:id="R12d1a2b1498f45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x:c r="A1" s="26" t="str">
        <x:v>Automacao Power Query para AliExpress</x:v>
      </x:c>
      <x:c r="B1" s="26" t="str">
        <x:v>Automacao Power Query para AliExpress</x:v>
      </x:c>
      <x:c r="C1" s="26" t="str">
        <x:v>Automacao Power Query para AliExpress</x:v>
      </x:c>
      <x:c r="D1" s="26" t="str">
        <x:v>Automacao Power Query para AliExpress</x:v>
      </x:c>
      <x:c r="E1" s="26" t="str">
        <x:v>Automacao Power Query para AliExpress</x:v>
      </x:c>
      <x:c r="F1" s="26" t="str">
        <x:v>Automacao Power Query para AliExpress</x:v>
      </x:c>
      <x:c r="G1" s="26" t="str">
        <x:v>Automacao Power Query para AliExpress</x:v>
      </x:c>
      <x:c r="H1" s="26" t="str">
        <x:v>Automacao Power Query para AliExpress</x:v>
      </x:c>
    </x:row>
    <x:row r="2">
      <x:c r="A2" s="27"/>
      <x:c r="B2" s="27"/>
      <x:c r="C2" s="27"/>
      <x:c r="D2" s="27"/>
      <x:c r="E2" s="27"/>
      <x:c r="F2" s="27"/>
      <x:c r="G2" s="27"/>
      <x:c r="H2" s="27"/>
    </x:row>
    <x:row r="3">
      <x:c r="A3" s="5" t="str">
        <x:v>Importante: a home do AliExpress e personalizada, pesada em JavaScript e pode bloquear consultas automaticas. O caminho mais estavel e usar uma URL de busca/categoria e revisar os resultados antes de comprar.</x:v>
      </x:c>
      <x:c r="B3" s="5" t="str">
        <x:v>Importante: a home do AliExpress e personalizada, pesada em JavaScript e pode bloquear consultas automaticas. O caminho mais estavel e usar uma URL de busca/categoria e revisar os resultados antes de comprar.</x:v>
      </x:c>
      <x:c r="C3" s="5" t="str">
        <x:v>Importante: a home do AliExpress e personalizada, pesada em JavaScript e pode bloquear consultas automaticas. O caminho mais estavel e usar uma URL de busca/categoria e revisar os resultados antes de comprar.</x:v>
      </x:c>
      <x:c r="D3" s="5" t="str">
        <x:v>Importante: a home do AliExpress e personalizada, pesada em JavaScript e pode bloquear consultas automaticas. O caminho mais estavel e usar uma URL de busca/categoria e revisar os resultados antes de comprar.</x:v>
      </x:c>
      <x:c r="E3" s="5" t="str">
        <x:v>Importante: a home do AliExpress e personalizada, pesada em JavaScript e pode bloquear consultas automaticas. O caminho mais estavel e usar uma URL de busca/categoria e revisar os resultados antes de comprar.</x:v>
      </x:c>
      <x:c r="F3" s="5" t="str">
        <x:v>Importante: a home do AliExpress e personalizada, pesada em JavaScript e pode bloquear consultas automaticas. O caminho mais estavel e usar uma URL de busca/categoria e revisar os resultados antes de comprar.</x:v>
      </x:c>
      <x:c r="G3" s="5" t="str">
        <x:v>Importante: a home do AliExpress e personalizada, pesada em JavaScript e pode bloquear consultas automaticas. O caminho mais estavel e usar uma URL de busca/categoria e revisar os resultados antes de comprar.</x:v>
      </x:c>
      <x:c r="H3" s="5" t="str">
        <x:v>Importante: a home do AliExpress e personalizada, pesada em JavaScript e pode bloquear consultas automaticas. O caminho mais estavel e usar uma URL de busca/categoria e revisar os resultados antes de comprar.</x:v>
      </x:c>
    </x:row>
    <x:row r="4">
      <x:c r="A4" s="5" t="str">
        <x:v>Importante: a home do AliExpress e personalizada, pesada em JavaScript e pode bloquear consultas automaticas. O caminho mais estavel e usar uma URL de busca/categoria e revisar os resultados antes de comprar.</x:v>
      </x:c>
      <x:c r="B4" s="5" t="str">
        <x:v>Importante: a home do AliExpress e personalizada, pesada em JavaScript e pode bloquear consultas automaticas. O caminho mais estavel e usar uma URL de busca/categoria e revisar os resultados antes de comprar.</x:v>
      </x:c>
      <x:c r="C4" s="5" t="str">
        <x:v>Importante: a home do AliExpress e personalizada, pesada em JavaScript e pode bloquear consultas automaticas. O caminho mais estavel e usar uma URL de busca/categoria e revisar os resultados antes de comprar.</x:v>
      </x:c>
      <x:c r="D4" s="5" t="str">
        <x:v>Importante: a home do AliExpress e personalizada, pesada em JavaScript e pode bloquear consultas automaticas. O caminho mais estavel e usar uma URL de busca/categoria e revisar os resultados antes de comprar.</x:v>
      </x:c>
      <x:c r="E4" s="5" t="str">
        <x:v>Importante: a home do AliExpress e personalizada, pesada em JavaScript e pode bloquear consultas automaticas. O caminho mais estavel e usar uma URL de busca/categoria e revisar os resultados antes de comprar.</x:v>
      </x:c>
      <x:c r="F4" s="5" t="str">
        <x:v>Importante: a home do AliExpress e personalizada, pesada em JavaScript e pode bloquear consultas automaticas. O caminho mais estavel e usar uma URL de busca/categoria e revisar os resultados antes de comprar.</x:v>
      </x:c>
      <x:c r="G4" s="5" t="str">
        <x:v>Importante: a home do AliExpress e personalizada, pesada em JavaScript e pode bloquear consultas automaticas. O caminho mais estavel e usar uma URL de busca/categoria e revisar os resultados antes de comprar.</x:v>
      </x:c>
      <x:c r="H4" s="5" t="str">
        <x:v>Importante: a home do AliExpress e personalizada, pesada em JavaScript e pode bloquear consultas automaticas. O caminho mais estavel e usar uma URL de busca/categoria e revisar os resultados antes de comprar.</x:v>
      </x:c>
    </x:row>
    <x:row r="5">
      <x:c r="A5" s="5" t="str">
        <x:v>Importante: a home do AliExpress e personalizada, pesada em JavaScript e pode bloquear consultas automaticas. O caminho mais estavel e usar uma URL de busca/categoria e revisar os resultados antes de comprar.</x:v>
      </x:c>
      <x:c r="B5" s="5" t="str">
        <x:v>Importante: a home do AliExpress e personalizada, pesada em JavaScript e pode bloquear consultas automaticas. O caminho mais estavel e usar uma URL de busca/categoria e revisar os resultados antes de comprar.</x:v>
      </x:c>
      <x:c r="C5" s="5" t="str">
        <x:v>Importante: a home do AliExpress e personalizada, pesada em JavaScript e pode bloquear consultas automaticas. O caminho mais estavel e usar uma URL de busca/categoria e revisar os resultados antes de comprar.</x:v>
      </x:c>
      <x:c r="D5" s="5" t="str">
        <x:v>Importante: a home do AliExpress e personalizada, pesada em JavaScript e pode bloquear consultas automaticas. O caminho mais estavel e usar uma URL de busca/categoria e revisar os resultados antes de comprar.</x:v>
      </x:c>
      <x:c r="E5" s="5" t="str">
        <x:v>Importante: a home do AliExpress e personalizada, pesada em JavaScript e pode bloquear consultas automaticas. O caminho mais estavel e usar uma URL de busca/categoria e revisar os resultados antes de comprar.</x:v>
      </x:c>
      <x:c r="F5" s="5" t="str">
        <x:v>Importante: a home do AliExpress e personalizada, pesada em JavaScript e pode bloquear consultas automaticas. O caminho mais estavel e usar uma URL de busca/categoria e revisar os resultados antes de comprar.</x:v>
      </x:c>
      <x:c r="G5" s="5" t="str">
        <x:v>Importante: a home do AliExpress e personalizada, pesada em JavaScript e pode bloquear consultas automaticas. O caminho mais estavel e usar uma URL de busca/categoria e revisar os resultados antes de comprar.</x:v>
      </x:c>
      <x:c r="H5" s="5" t="str">
        <x:v>Importante: a home do AliExpress e personalizada, pesada em JavaScript e pode bloquear consultas automaticas. O caminho mais estavel e usar uma URL de busca/categoria e revisar os resultados antes de comprar.</x:v>
      </x:c>
    </x:row>
    <x:row r="6">
      <x:c r="A6" s="27"/>
      <x:c r="B6" s="27"/>
      <x:c r="C6" s="27"/>
      <x:c r="D6" s="27"/>
      <x:c r="E6" s="27"/>
      <x:c r="F6" s="27"/>
      <x:c r="G6" s="27"/>
      <x:c r="H6" s="27"/>
    </x:row>
    <x:row r="7">
      <x:c r="A7" s="8" t="str">
        <x:v>Codigo Power Query M</x:v>
      </x:c>
      <x:c r="B7" s="8" t="str">
        <x:v>Codigo Power Query M</x:v>
      </x:c>
      <x:c r="C7" s="8" t="str">
        <x:v>Codigo Power Query M</x:v>
      </x:c>
      <x:c r="D7" s="8" t="str">
        <x:v>Codigo Power Query M</x:v>
      </x:c>
      <x:c r="E7" s="8" t="str">
        <x:v>Codigo Power Query M</x:v>
      </x:c>
      <x:c r="F7" s="8" t="str">
        <x:v>Codigo Power Query M</x:v>
      </x:c>
      <x:c r="G7" s="8" t="str">
        <x:v>Codigo Power Query M</x:v>
      </x:c>
      <x:c r="H7" s="8" t="str">
        <x:v>Codigo Power Query M</x:v>
      </x:c>
    </x:row>
    <x:row r="8" ht="14.25" customHeight="1">
      <x:c r="A8" s="33" t="str">
        <x:v>let</x:v>
      </x:c>
      <x:c r="B8" s="33" t="str">
        <x:v>let</x:v>
      </x:c>
      <x:c r="C8" s="33" t="str">
        <x:v>let</x:v>
      </x:c>
      <x:c r="D8" s="33" t="str">
        <x:v>let</x:v>
      </x:c>
      <x:c r="E8" s="33" t="str">
        <x:v>let</x:v>
      </x:c>
      <x:c r="F8" s="33" t="str">
        <x:v>let</x:v>
      </x:c>
      <x:c r="G8" s="33" t="str">
        <x:v>let</x:v>
      </x:c>
      <x:c r="H8" s="33" t="str">
        <x:v>let</x:v>
      </x:c>
    </x:row>
    <x:row r="9" ht="14.25" customHeight="1">
      <x:c r="A9" s="33" t="str">
        <x:v>    Config = Excel.CurrentWorkbook(){[Name="ConfigTable"]}[Content],</x:v>
      </x:c>
      <x:c r="B9" s="33" t="str">
        <x:v>    Config = Excel.CurrentWorkbook(){[Name="ConfigTable"]}[Content],</x:v>
      </x:c>
      <x:c r="C9" s="33" t="str">
        <x:v>    Config = Excel.CurrentWorkbook(){[Name="ConfigTable"]}[Content],</x:v>
      </x:c>
      <x:c r="D9" s="33" t="str">
        <x:v>    Config = Excel.CurrentWorkbook(){[Name="ConfigTable"]}[Content],</x:v>
      </x:c>
      <x:c r="E9" s="33" t="str">
        <x:v>    Config = Excel.CurrentWorkbook(){[Name="ConfigTable"]}[Content],</x:v>
      </x:c>
      <x:c r="F9" s="33" t="str">
        <x:v>    Config = Excel.CurrentWorkbook(){[Name="ConfigTable"]}[Content],</x:v>
      </x:c>
      <x:c r="G9" s="33" t="str">
        <x:v>    Config = Excel.CurrentWorkbook(){[Name="ConfigTable"]}[Content],</x:v>
      </x:c>
      <x:c r="H9" s="33" t="str">
        <x:v>    Config = Excel.CurrentWorkbook(){[Name="ConfigTable"]}[Content],</x:v>
      </x:c>
    </x:row>
    <x:row r="10" ht="14.25" customHeight="1">
      <x:c r="A10" s="33" t="str">
        <x:v>    Url = Config{[Campo="URL de coleta"]}[Valor],</x:v>
      </x:c>
      <x:c r="B10" s="33" t="str">
        <x:v>    Url = Config{[Campo="URL de coleta"]}[Valor],</x:v>
      </x:c>
      <x:c r="C10" s="33" t="str">
        <x:v>    Url = Config{[Campo="URL de coleta"]}[Valor],</x:v>
      </x:c>
      <x:c r="D10" s="33" t="str">
        <x:v>    Url = Config{[Campo="URL de coleta"]}[Valor],</x:v>
      </x:c>
      <x:c r="E10" s="33" t="str">
        <x:v>    Url = Config{[Campo="URL de coleta"]}[Valor],</x:v>
      </x:c>
      <x:c r="F10" s="33" t="str">
        <x:v>    Url = Config{[Campo="URL de coleta"]}[Valor],</x:v>
      </x:c>
      <x:c r="G10" s="33" t="str">
        <x:v>    Url = Config{[Campo="URL de coleta"]}[Valor],</x:v>
      </x:c>
      <x:c r="H10" s="33" t="str">
        <x:v>    Url = Config{[Campo="URL de coleta"]}[Valor],</x:v>
      </x:c>
    </x:row>
    <x:row r="11" ht="14.25" customHeight="1">
      <x:c r="A11" s="33" t="str">
        <x:v>    Fonte = Web.BrowserContents(Url),</x:v>
      </x:c>
      <x:c r="B11" s="33" t="str">
        <x:v>    Fonte = Web.BrowserContents(Url),</x:v>
      </x:c>
      <x:c r="C11" s="33" t="str">
        <x:v>    Fonte = Web.BrowserContents(Url),</x:v>
      </x:c>
      <x:c r="D11" s="33" t="str">
        <x:v>    Fonte = Web.BrowserContents(Url),</x:v>
      </x:c>
      <x:c r="E11" s="33" t="str">
        <x:v>    Fonte = Web.BrowserContents(Url),</x:v>
      </x:c>
      <x:c r="F11" s="33" t="str">
        <x:v>    Fonte = Web.BrowserContents(Url),</x:v>
      </x:c>
      <x:c r="G11" s="33" t="str">
        <x:v>    Fonte = Web.BrowserContents(Url),</x:v>
      </x:c>
      <x:c r="H11" s="33" t="str">
        <x:v>    Fonte = Web.BrowserContents(Url),</x:v>
      </x:c>
    </x:row>
    <x:row r="12" ht="14.25" customHeight="1">
      <x:c r="A12" s="33" t="str">
        <x:v>    Cards = Html.Table(</x:v>
      </x:c>
      <x:c r="B12" s="33" t="str">
        <x:v>    Cards = Html.Table(</x:v>
      </x:c>
      <x:c r="C12" s="33" t="str">
        <x:v>    Cards = Html.Table(</x:v>
      </x:c>
      <x:c r="D12" s="33" t="str">
        <x:v>    Cards = Html.Table(</x:v>
      </x:c>
      <x:c r="E12" s="33" t="str">
        <x:v>    Cards = Html.Table(</x:v>
      </x:c>
      <x:c r="F12" s="33" t="str">
        <x:v>    Cards = Html.Table(</x:v>
      </x:c>
      <x:c r="G12" s="33" t="str">
        <x:v>    Cards = Html.Table(</x:v>
      </x:c>
      <x:c r="H12" s="33" t="str">
        <x:v>    Cards = Html.Table(</x:v>
      </x:c>
    </x:row>
    <x:row r="13" ht="14.25" customHeight="1">
      <x:c r="A13" s="33" t="str">
        <x:v>        Fonte,</x:v>
      </x:c>
      <x:c r="B13" s="33" t="str">
        <x:v>        Fonte,</x:v>
      </x:c>
      <x:c r="C13" s="33" t="str">
        <x:v>        Fonte,</x:v>
      </x:c>
      <x:c r="D13" s="33" t="str">
        <x:v>        Fonte,</x:v>
      </x:c>
      <x:c r="E13" s="33" t="str">
        <x:v>        Fonte,</x:v>
      </x:c>
      <x:c r="F13" s="33" t="str">
        <x:v>        Fonte,</x:v>
      </x:c>
      <x:c r="G13" s="33" t="str">
        <x:v>        Fonte,</x:v>
      </x:c>
      <x:c r="H13" s="33" t="str">
        <x:v>        Fonte,</x:v>
      </x:c>
    </x:row>
    <x:row r="14" ht="14.25" customHeight="1">
      <x:c r="A14" s="33" t="str">
        <x:v>        {</x:v>
      </x:c>
      <x:c r="B14" s="33" t="str">
        <x:v>        {</x:v>
      </x:c>
      <x:c r="C14" s="33" t="str">
        <x:v>        {</x:v>
      </x:c>
      <x:c r="D14" s="33" t="str">
        <x:v>        {</x:v>
      </x:c>
      <x:c r="E14" s="33" t="str">
        <x:v>        {</x:v>
      </x:c>
      <x:c r="F14" s="33" t="str">
        <x:v>        {</x:v>
      </x:c>
      <x:c r="G14" s="33" t="str">
        <x:v>        {</x:v>
      </x:c>
      <x:c r="H14" s="33" t="str">
        <x:v>        {</x:v>
      </x:c>
    </x:row>
    <x:row r="15" ht="14.25" customHeight="1">
      <x:c r="A15" s="33" t="str">
        <x:v>            {"Produto capturado", "[class*='title'], [class*='name'], a[href*='/item/']", each Text.Trim([Text])},</x:v>
      </x:c>
      <x:c r="B15" s="33" t="str">
        <x:v>            {"Produto capturado", "[class*='title'], [class*='name'], a[href*='/item/']", each Text.Trim([Text])},</x:v>
      </x:c>
      <x:c r="C15" s="33" t="str">
        <x:v>            {"Produto capturado", "[class*='title'], [class*='name'], a[href*='/item/']", each Text.Trim([Text])},</x:v>
      </x:c>
      <x:c r="D15" s="33" t="str">
        <x:v>            {"Produto capturado", "[class*='title'], [class*='name'], a[href*='/item/']", each Text.Trim([Text])},</x:v>
      </x:c>
      <x:c r="E15" s="33" t="str">
        <x:v>            {"Produto capturado", "[class*='title'], [class*='name'], a[href*='/item/']", each Text.Trim([Text])},</x:v>
      </x:c>
      <x:c r="F15" s="33" t="str">
        <x:v>            {"Produto capturado", "[class*='title'], [class*='name'], a[href*='/item/']", each Text.Trim([Text])},</x:v>
      </x:c>
      <x:c r="G15" s="33" t="str">
        <x:v>            {"Produto capturado", "[class*='title'], [class*='name'], a[href*='/item/']", each Text.Trim([Text])},</x:v>
      </x:c>
      <x:c r="H15" s="33" t="str">
        <x:v>            {"Produto capturado", "[class*='title'], [class*='name'], a[href*='/item/']", each Text.Trim([Text])},</x:v>
      </x:c>
    </x:row>
    <x:row r="16" ht="14.25" customHeight="1">
      <x:c r="A16" s="33" t="str">
        <x:v>            {"Preco bruto", "[class*='price']", each Text.Trim([Text])},</x:v>
      </x:c>
      <x:c r="B16" s="33" t="str">
        <x:v>            {"Preco bruto", "[class*='price']", each Text.Trim([Text])},</x:v>
      </x:c>
      <x:c r="C16" s="33" t="str">
        <x:v>            {"Preco bruto", "[class*='price']", each Text.Trim([Text])},</x:v>
      </x:c>
      <x:c r="D16" s="33" t="str">
        <x:v>            {"Preco bruto", "[class*='price']", each Text.Trim([Text])},</x:v>
      </x:c>
      <x:c r="E16" s="33" t="str">
        <x:v>            {"Preco bruto", "[class*='price']", each Text.Trim([Text])},</x:v>
      </x:c>
      <x:c r="F16" s="33" t="str">
        <x:v>            {"Preco bruto", "[class*='price']", each Text.Trim([Text])},</x:v>
      </x:c>
      <x:c r="G16" s="33" t="str">
        <x:v>            {"Preco bruto", "[class*='price']", each Text.Trim([Text])},</x:v>
      </x:c>
      <x:c r="H16" s="33" t="str">
        <x:v>            {"Preco bruto", "[class*='price']", each Text.Trim([Text])},</x:v>
      </x:c>
    </x:row>
    <x:row r="17" ht="14.25" customHeight="1">
      <x:c r="A17" s="33" t="str">
        <x:v>            {"Link Produto", "a[href*='/item/']", each [Attributes][href]?},</x:v>
      </x:c>
      <x:c r="B17" s="33" t="str">
        <x:v>            {"Link Produto", "a[href*='/item/']", each [Attributes][href]?},</x:v>
      </x:c>
      <x:c r="C17" s="33" t="str">
        <x:v>            {"Link Produto", "a[href*='/item/']", each [Attributes][href]?},</x:v>
      </x:c>
      <x:c r="D17" s="33" t="str">
        <x:v>            {"Link Produto", "a[href*='/item/']", each [Attributes][href]?},</x:v>
      </x:c>
      <x:c r="E17" s="33" t="str">
        <x:v>            {"Link Produto", "a[href*='/item/']", each [Attributes][href]?},</x:v>
      </x:c>
      <x:c r="F17" s="33" t="str">
        <x:v>            {"Link Produto", "a[href*='/item/']", each [Attributes][href]?},</x:v>
      </x:c>
      <x:c r="G17" s="33" t="str">
        <x:v>            {"Link Produto", "a[href*='/item/']", each [Attributes][href]?},</x:v>
      </x:c>
      <x:c r="H17" s="33" t="str">
        <x:v>            {"Link Produto", "a[href*='/item/']", each [Attributes][href]?},</x:v>
      </x:c>
    </x:row>
    <x:row r="18" ht="14.25" customHeight="1">
      <x:c r="A18" s="33" t="str">
        <x:v>            {"Foto URL", "img", each [Attributes][src]?},</x:v>
      </x:c>
      <x:c r="B18" s="33" t="str">
        <x:v>            {"Foto URL", "img", each [Attributes][src]?},</x:v>
      </x:c>
      <x:c r="C18" s="33" t="str">
        <x:v>            {"Foto URL", "img", each [Attributes][src]?},</x:v>
      </x:c>
      <x:c r="D18" s="33" t="str">
        <x:v>            {"Foto URL", "img", each [Attributes][src]?},</x:v>
      </x:c>
      <x:c r="E18" s="33" t="str">
        <x:v>            {"Foto URL", "img", each [Attributes][src]?},</x:v>
      </x:c>
      <x:c r="F18" s="33" t="str">
        <x:v>            {"Foto URL", "img", each [Attributes][src]?},</x:v>
      </x:c>
      <x:c r="G18" s="33" t="str">
        <x:v>            {"Foto URL", "img", each [Attributes][src]?},</x:v>
      </x:c>
      <x:c r="H18" s="33" t="str">
        <x:v>            {"Foto URL", "img", each [Attributes][src]?},</x:v>
      </x:c>
    </x:row>
    <x:row r="19" ht="14.25" customHeight="1">
      <x:c r="A19" s="33" t="str">
        <x:v>            {"Foto alternativa", "img", each [Attributes][data-src]?}</x:v>
      </x:c>
      <x:c r="B19" s="33" t="str">
        <x:v>            {"Foto alternativa", "img", each [Attributes][data-src]?}</x:v>
      </x:c>
      <x:c r="C19" s="33" t="str">
        <x:v>            {"Foto alternativa", "img", each [Attributes][data-src]?}</x:v>
      </x:c>
      <x:c r="D19" s="33" t="str">
        <x:v>            {"Foto alternativa", "img", each [Attributes][data-src]?}</x:v>
      </x:c>
      <x:c r="E19" s="33" t="str">
        <x:v>            {"Foto alternativa", "img", each [Attributes][data-src]?}</x:v>
      </x:c>
      <x:c r="F19" s="33" t="str">
        <x:v>            {"Foto alternativa", "img", each [Attributes][data-src]?}</x:v>
      </x:c>
      <x:c r="G19" s="33" t="str">
        <x:v>            {"Foto alternativa", "img", each [Attributes][data-src]?}</x:v>
      </x:c>
      <x:c r="H19" s="33" t="str">
        <x:v>            {"Foto alternativa", "img", each [Attributes][data-src]?}</x:v>
      </x:c>
    </x:row>
    <x:row r="20" ht="14.25" customHeight="1">
      <x:c r="A20" s="33" t="str">
        <x:v>        },</x:v>
      </x:c>
      <x:c r="B20" s="33" t="str">
        <x:v>        },</x:v>
      </x:c>
      <x:c r="C20" s="33" t="str">
        <x:v>        },</x:v>
      </x:c>
      <x:c r="D20" s="33" t="str">
        <x:v>        },</x:v>
      </x:c>
      <x:c r="E20" s="33" t="str">
        <x:v>        },</x:v>
      </x:c>
      <x:c r="F20" s="33" t="str">
        <x:v>        },</x:v>
      </x:c>
      <x:c r="G20" s="33" t="str">
        <x:v>        },</x:v>
      </x:c>
      <x:c r="H20" s="33" t="str">
        <x:v>        },</x:v>
      </x:c>
    </x:row>
    <x:row r="21" ht="14.25" customHeight="1">
      <x:c r="A21" s="33" t="str">
        <x:v>        [RowSelector="[class*='card'], [class*='product'], a[href*='/item/']"]</x:v>
      </x:c>
      <x:c r="B21" s="33" t="str">
        <x:v>        [RowSelector="[class*='card'], [class*='product'], a[href*='/item/']"]</x:v>
      </x:c>
      <x:c r="C21" s="33" t="str">
        <x:v>        [RowSelector="[class*='card'], [class*='product'], a[href*='/item/']"]</x:v>
      </x:c>
      <x:c r="D21" s="33" t="str">
        <x:v>        [RowSelector="[class*='card'], [class*='product'], a[href*='/item/']"]</x:v>
      </x:c>
      <x:c r="E21" s="33" t="str">
        <x:v>        [RowSelector="[class*='card'], [class*='product'], a[href*='/item/']"]</x:v>
      </x:c>
      <x:c r="F21" s="33" t="str">
        <x:v>        [RowSelector="[class*='card'], [class*='product'], a[href*='/item/']"]</x:v>
      </x:c>
      <x:c r="G21" s="33" t="str">
        <x:v>        [RowSelector="[class*='card'], [class*='product'], a[href*='/item/']"]</x:v>
      </x:c>
      <x:c r="H21" s="33" t="str">
        <x:v>        [RowSelector="[class*='card'], [class*='product'], a[href*='/item/']"]</x:v>
      </x:c>
    </x:row>
    <x:row r="22" ht="14.25" customHeight="1">
      <x:c r="A22" s="33" t="str">
        <x:v>    ),</x:v>
      </x:c>
      <x:c r="B22" s="33" t="str">
        <x:v>    ),</x:v>
      </x:c>
      <x:c r="C22" s="33" t="str">
        <x:v>    ),</x:v>
      </x:c>
      <x:c r="D22" s="33" t="str">
        <x:v>    ),</x:v>
      </x:c>
      <x:c r="E22" s="33" t="str">
        <x:v>    ),</x:v>
      </x:c>
      <x:c r="F22" s="33" t="str">
        <x:v>    ),</x:v>
      </x:c>
      <x:c r="G22" s="33" t="str">
        <x:v>    ),</x:v>
      </x:c>
      <x:c r="H22" s="33" t="str">
        <x:v>    ),</x:v>
      </x:c>
    </x:row>
    <x:row r="23" ht="14.25" customHeight="1">
      <x:c r="A23" s="33" t="str">
        <x:v>    SemVazios = Table.SelectRows(Cards, each [Produto capturado] &lt;&gt; null and [Produto capturado] &lt;&gt; ""),</x:v>
      </x:c>
      <x:c r="B23" s="33" t="str">
        <x:v>    SemVazios = Table.SelectRows(Cards, each [Produto capturado] &lt;&gt; null and [Produto capturado] &lt;&gt; ""),</x:v>
      </x:c>
      <x:c r="C23" s="33" t="str">
        <x:v>    SemVazios = Table.SelectRows(Cards, each [Produto capturado] &lt;&gt; null and [Produto capturado] &lt;&gt; ""),</x:v>
      </x:c>
      <x:c r="D23" s="33" t="str">
        <x:v>    SemVazios = Table.SelectRows(Cards, each [Produto capturado] &lt;&gt; null and [Produto capturado] &lt;&gt; ""),</x:v>
      </x:c>
      <x:c r="E23" s="33" t="str">
        <x:v>    SemVazios = Table.SelectRows(Cards, each [Produto capturado] &lt;&gt; null and [Produto capturado] &lt;&gt; ""),</x:v>
      </x:c>
      <x:c r="F23" s="33" t="str">
        <x:v>    SemVazios = Table.SelectRows(Cards, each [Produto capturado] &lt;&gt; null and [Produto capturado] &lt;&gt; ""),</x:v>
      </x:c>
      <x:c r="G23" s="33" t="str">
        <x:v>    SemVazios = Table.SelectRows(Cards, each [Produto capturado] &lt;&gt; null and [Produto capturado] &lt;&gt; ""),</x:v>
      </x:c>
      <x:c r="H23" s="33" t="str">
        <x:v>    SemVazios = Table.SelectRows(Cards, each [Produto capturado] &lt;&gt; null and [Produto capturado] &lt;&gt; ""),</x:v>
      </x:c>
    </x:row>
    <x:row r="24" ht="14.25" customHeight="1">
      <x:c r="A24" s="33" t="str">
        <x:v>    Links = Table.TransformColumns(</x:v>
      </x:c>
      <x:c r="B24" s="33" t="str">
        <x:v>    Links = Table.TransformColumns(</x:v>
      </x:c>
      <x:c r="C24" s="33" t="str">
        <x:v>    Links = Table.TransformColumns(</x:v>
      </x:c>
      <x:c r="D24" s="33" t="str">
        <x:v>    Links = Table.TransformColumns(</x:v>
      </x:c>
      <x:c r="E24" s="33" t="str">
        <x:v>    Links = Table.TransformColumns(</x:v>
      </x:c>
      <x:c r="F24" s="33" t="str">
        <x:v>    Links = Table.TransformColumns(</x:v>
      </x:c>
      <x:c r="G24" s="33" t="str">
        <x:v>    Links = Table.TransformColumns(</x:v>
      </x:c>
      <x:c r="H24" s="33" t="str">
        <x:v>    Links = Table.TransformColumns(</x:v>
      </x:c>
    </x:row>
    <x:row r="25" ht="14.25" customHeight="1">
      <x:c r="A25" s="33" t="str">
        <x:v>        SemVazios,</x:v>
      </x:c>
      <x:c r="B25" s="33" t="str">
        <x:v>        SemVazios,</x:v>
      </x:c>
      <x:c r="C25" s="33" t="str">
        <x:v>        SemVazios,</x:v>
      </x:c>
      <x:c r="D25" s="33" t="str">
        <x:v>        SemVazios,</x:v>
      </x:c>
      <x:c r="E25" s="33" t="str">
        <x:v>        SemVazios,</x:v>
      </x:c>
      <x:c r="F25" s="33" t="str">
        <x:v>        SemVazios,</x:v>
      </x:c>
      <x:c r="G25" s="33" t="str">
        <x:v>        SemVazios,</x:v>
      </x:c>
      <x:c r="H25" s="33" t="str">
        <x:v>        SemVazios,</x:v>
      </x:c>
    </x:row>
    <x:row r="26" ht="14.25" customHeight="1">
      <x:c r="A26" s="33" t="str">
        <x:v>        {{"Link Produto", each if _ &lt;&gt; null and Text.StartsWith(_, "//") then "https:" &amp; _ else _, type text}}</x:v>
      </x:c>
      <x:c r="B26" s="33" t="str">
        <x:v>        {{"Link Produto", each if _ &lt;&gt; null and Text.StartsWith(_, "//") then "https:" &amp; _ else _, type text}}</x:v>
      </x:c>
      <x:c r="C26" s="33" t="str">
        <x:v>        {{"Link Produto", each if _ &lt;&gt; null and Text.StartsWith(_, "//") then "https:" &amp; _ else _, type text}}</x:v>
      </x:c>
      <x:c r="D26" s="33" t="str">
        <x:v>        {{"Link Produto", each if _ &lt;&gt; null and Text.StartsWith(_, "//") then "https:" &amp; _ else _, type text}}</x:v>
      </x:c>
      <x:c r="E26" s="33" t="str">
        <x:v>        {{"Link Produto", each if _ &lt;&gt; null and Text.StartsWith(_, "//") then "https:" &amp; _ else _, type text}}</x:v>
      </x:c>
      <x:c r="F26" s="33" t="str">
        <x:v>        {{"Link Produto", each if _ &lt;&gt; null and Text.StartsWith(_, "//") then "https:" &amp; _ else _, type text}}</x:v>
      </x:c>
      <x:c r="G26" s="33" t="str">
        <x:v>        {{"Link Produto", each if _ &lt;&gt; null and Text.StartsWith(_, "//") then "https:" &amp; _ else _, type text}}</x:v>
      </x:c>
      <x:c r="H26" s="33" t="str">
        <x:v>        {{"Link Produto", each if _ &lt;&gt; null and Text.StartsWith(_, "//") then "https:" &amp; _ else _, type text}}</x:v>
      </x:c>
    </x:row>
    <x:row r="27" ht="14.25" customHeight="1">
      <x:c r="A27" s="33" t="str">
        <x:v>    ),</x:v>
      </x:c>
      <x:c r="B27" s="33" t="str">
        <x:v>    ),</x:v>
      </x:c>
      <x:c r="C27" s="33" t="str">
        <x:v>    ),</x:v>
      </x:c>
      <x:c r="D27" s="33" t="str">
        <x:v>    ),</x:v>
      </x:c>
      <x:c r="E27" s="33" t="str">
        <x:v>    ),</x:v>
      </x:c>
      <x:c r="F27" s="33" t="str">
        <x:v>    ),</x:v>
      </x:c>
      <x:c r="G27" s="33" t="str">
        <x:v>    ),</x:v>
      </x:c>
      <x:c r="H27" s="33" t="str">
        <x:v>    ),</x:v>
      </x:c>
    </x:row>
    <x:row r="28" ht="14.25" customHeight="1">
      <x:c r="A28" s="33" t="str">
        <x:v>    Fotos = Table.AddColumn(Links, "Foto final", each if [Foto URL] &lt;&gt; null and [Foto URL] &lt;&gt; "" then [Foto URL] else [Foto alternativa], type text),</x:v>
      </x:c>
      <x:c r="B28" s="33" t="str">
        <x:v>    Fotos = Table.AddColumn(Links, "Foto final", each if [Foto URL] &lt;&gt; null and [Foto URL] &lt;&gt; "" then [Foto URL] else [Foto alternativa], type text),</x:v>
      </x:c>
      <x:c r="C28" s="33" t="str">
        <x:v>    Fotos = Table.AddColumn(Links, "Foto final", each if [Foto URL] &lt;&gt; null and [Foto URL] &lt;&gt; "" then [Foto URL] else [Foto alternativa], type text),</x:v>
      </x:c>
      <x:c r="D28" s="33" t="str">
        <x:v>    Fotos = Table.AddColumn(Links, "Foto final", each if [Foto URL] &lt;&gt; null and [Foto URL] &lt;&gt; "" then [Foto URL] else [Foto alternativa], type text),</x:v>
      </x:c>
      <x:c r="E28" s="33" t="str">
        <x:v>    Fotos = Table.AddColumn(Links, "Foto final", each if [Foto URL] &lt;&gt; null and [Foto URL] &lt;&gt; "" then [Foto URL] else [Foto alternativa], type text),</x:v>
      </x:c>
      <x:c r="F28" s="33" t="str">
        <x:v>    Fotos = Table.AddColumn(Links, "Foto final", each if [Foto URL] &lt;&gt; null and [Foto URL] &lt;&gt; "" then [Foto URL] else [Foto alternativa], type text),</x:v>
      </x:c>
      <x:c r="G28" s="33" t="str">
        <x:v>    Fotos = Table.AddColumn(Links, "Foto final", each if [Foto URL] &lt;&gt; null and [Foto URL] &lt;&gt; "" then [Foto URL] else [Foto alternativa], type text),</x:v>
      </x:c>
      <x:c r="H28" s="33" t="str">
        <x:v>    Fotos = Table.AddColumn(Links, "Foto final", each if [Foto URL] &lt;&gt; null and [Foto URL] &lt;&gt; "" then [Foto URL] else [Foto alternativa], type text),</x:v>
      </x:c>
    </x:row>
    <x:row r="29" ht="14.25" customHeight="1">
      <x:c r="A29" s="33" t="str">
        <x:v>    FotosNormalizadas = Table.TransformColumns(</x:v>
      </x:c>
      <x:c r="B29" s="33" t="str">
        <x:v>    FotosNormalizadas = Table.TransformColumns(</x:v>
      </x:c>
      <x:c r="C29" s="33" t="str">
        <x:v>    FotosNormalizadas = Table.TransformColumns(</x:v>
      </x:c>
      <x:c r="D29" s="33" t="str">
        <x:v>    FotosNormalizadas = Table.TransformColumns(</x:v>
      </x:c>
      <x:c r="E29" s="33" t="str">
        <x:v>    FotosNormalizadas = Table.TransformColumns(</x:v>
      </x:c>
      <x:c r="F29" s="33" t="str">
        <x:v>    FotosNormalizadas = Table.TransformColumns(</x:v>
      </x:c>
      <x:c r="G29" s="33" t="str">
        <x:v>    FotosNormalizadas = Table.TransformColumns(</x:v>
      </x:c>
      <x:c r="H29" s="33" t="str">
        <x:v>    FotosNormalizadas = Table.TransformColumns(</x:v>
      </x:c>
    </x:row>
    <x:row r="30" ht="14.25" customHeight="1">
      <x:c r="A30" s="33" t="str">
        <x:v>        Fotos,</x:v>
      </x:c>
      <x:c r="B30" s="33" t="str">
        <x:v>        Fotos,</x:v>
      </x:c>
      <x:c r="C30" s="33" t="str">
        <x:v>        Fotos,</x:v>
      </x:c>
      <x:c r="D30" s="33" t="str">
        <x:v>        Fotos,</x:v>
      </x:c>
      <x:c r="E30" s="33" t="str">
        <x:v>        Fotos,</x:v>
      </x:c>
      <x:c r="F30" s="33" t="str">
        <x:v>        Fotos,</x:v>
      </x:c>
      <x:c r="G30" s="33" t="str">
        <x:v>        Fotos,</x:v>
      </x:c>
      <x:c r="H30" s="33" t="str">
        <x:v>        Fotos,</x:v>
      </x:c>
    </x:row>
    <x:row r="31" ht="14.25" customHeight="1">
      <x:c r="A31" s="33" t="str">
        <x:v>        {{"Foto final", each if _ &lt;&gt; null and Text.StartsWith(_, "//") then "https:" &amp; _ else _, type text}}</x:v>
      </x:c>
      <x:c r="B31" s="33" t="str">
        <x:v>        {{"Foto final", each if _ &lt;&gt; null and Text.StartsWith(_, "//") then "https:" &amp; _ else _, type text}}</x:v>
      </x:c>
      <x:c r="C31" s="33" t="str">
        <x:v>        {{"Foto final", each if _ &lt;&gt; null and Text.StartsWith(_, "//") then "https:" &amp; _ else _, type text}}</x:v>
      </x:c>
      <x:c r="D31" s="33" t="str">
        <x:v>        {{"Foto final", each if _ &lt;&gt; null and Text.StartsWith(_, "//") then "https:" &amp; _ else _, type text}}</x:v>
      </x:c>
      <x:c r="E31" s="33" t="str">
        <x:v>        {{"Foto final", each if _ &lt;&gt; null and Text.StartsWith(_, "//") then "https:" &amp; _ else _, type text}}</x:v>
      </x:c>
      <x:c r="F31" s="33" t="str">
        <x:v>        {{"Foto final", each if _ &lt;&gt; null and Text.StartsWith(_, "//") then "https:" &amp; _ else _, type text}}</x:v>
      </x:c>
      <x:c r="G31" s="33" t="str">
        <x:v>        {{"Foto final", each if _ &lt;&gt; null and Text.StartsWith(_, "//") then "https:" &amp; _ else _, type text}}</x:v>
      </x:c>
      <x:c r="H31" s="33" t="str">
        <x:v>        {{"Foto final", each if _ &lt;&gt; null and Text.StartsWith(_, "//") then "https:" &amp; _ else _, type text}}</x:v>
      </x:c>
    </x:row>
    <x:row r="32" ht="14.25" customHeight="1">
      <x:c r="A32" s="33" t="str">
        <x:v>    ),</x:v>
      </x:c>
      <x:c r="B32" s="33" t="str">
        <x:v>    ),</x:v>
      </x:c>
      <x:c r="C32" s="33" t="str">
        <x:v>    ),</x:v>
      </x:c>
      <x:c r="D32" s="33" t="str">
        <x:v>    ),</x:v>
      </x:c>
      <x:c r="E32" s="33" t="str">
        <x:v>    ),</x:v>
      </x:c>
      <x:c r="F32" s="33" t="str">
        <x:v>    ),</x:v>
      </x:c>
      <x:c r="G32" s="33" t="str">
        <x:v>    ),</x:v>
      </x:c>
      <x:c r="H32" s="33" t="str">
        <x:v>    ),</x:v>
      </x:c>
    </x:row>
    <x:row r="33" ht="14.25" customHeight="1">
      <x:c r="A33" s="33" t="str">
        <x:v>    NomeLimpo = Table.AddColumn(</x:v>
      </x:c>
      <x:c r="B33" s="33" t="str">
        <x:v>    NomeLimpo = Table.AddColumn(</x:v>
      </x:c>
      <x:c r="C33" s="33" t="str">
        <x:v>    NomeLimpo = Table.AddColumn(</x:v>
      </x:c>
      <x:c r="D33" s="33" t="str">
        <x:v>    NomeLimpo = Table.AddColumn(</x:v>
      </x:c>
      <x:c r="E33" s="33" t="str">
        <x:v>    NomeLimpo = Table.AddColumn(</x:v>
      </x:c>
      <x:c r="F33" s="33" t="str">
        <x:v>    NomeLimpo = Table.AddColumn(</x:v>
      </x:c>
      <x:c r="G33" s="33" t="str">
        <x:v>    NomeLimpo = Table.AddColumn(</x:v>
      </x:c>
      <x:c r="H33" s="33" t="str">
        <x:v>    NomeLimpo = Table.AddColumn(</x:v>
      </x:c>
    </x:row>
    <x:row r="34" ht="14.25" customHeight="1">
      <x:c r="A34" s="33" t="str">
        <x:v>        FotosNormalizadas,</x:v>
      </x:c>
      <x:c r="B34" s="33" t="str">
        <x:v>        FotosNormalizadas,</x:v>
      </x:c>
      <x:c r="C34" s="33" t="str">
        <x:v>        FotosNormalizadas,</x:v>
      </x:c>
      <x:c r="D34" s="33" t="str">
        <x:v>        FotosNormalizadas,</x:v>
      </x:c>
      <x:c r="E34" s="33" t="str">
        <x:v>        FotosNormalizadas,</x:v>
      </x:c>
      <x:c r="F34" s="33" t="str">
        <x:v>        FotosNormalizadas,</x:v>
      </x:c>
      <x:c r="G34" s="33" t="str">
        <x:v>        FotosNormalizadas,</x:v>
      </x:c>
      <x:c r="H34" s="33" t="str">
        <x:v>        FotosNormalizadas,</x:v>
      </x:c>
    </x:row>
    <x:row r="35" ht="14.25" customHeight="1">
      <x:c r="A35" s="33" t="str">
        <x:v>        "Nome limpo site",</x:v>
      </x:c>
      <x:c r="B35" s="33" t="str">
        <x:v>        "Nome limpo site",</x:v>
      </x:c>
      <x:c r="C35" s="33" t="str">
        <x:v>        "Nome limpo site",</x:v>
      </x:c>
      <x:c r="D35" s="33" t="str">
        <x:v>        "Nome limpo site",</x:v>
      </x:c>
      <x:c r="E35" s="33" t="str">
        <x:v>        "Nome limpo site",</x:v>
      </x:c>
      <x:c r="F35" s="33" t="str">
        <x:v>        "Nome limpo site",</x:v>
      </x:c>
      <x:c r="G35" s="33" t="str">
        <x:v>        "Nome limpo site",</x:v>
      </x:c>
      <x:c r="H35" s="33" t="str">
        <x:v>        "Nome limpo site",</x:v>
      </x:c>
    </x:row>
    <x:row r="36" ht="14.25" customHeight="1">
      <x:c r="A36" s="33" t="str">
        <x:v>        each Text.Trim(Text.Replace(Text.Replace(Text.Replace([Produto capturado], "AliExpress", ""), "aliexpress", ""), "Choice", "")),</x:v>
      </x:c>
      <x:c r="B36" s="33" t="str">
        <x:v>        each Text.Trim(Text.Replace(Text.Replace(Text.Replace([Produto capturado], "AliExpress", ""), "aliexpress", ""), "Choice", "")),</x:v>
      </x:c>
      <x:c r="C36" s="33" t="str">
        <x:v>        each Text.Trim(Text.Replace(Text.Replace(Text.Replace([Produto capturado], "AliExpress", ""), "aliexpress", ""), "Choice", "")),</x:v>
      </x:c>
      <x:c r="D36" s="33" t="str">
        <x:v>        each Text.Trim(Text.Replace(Text.Replace(Text.Replace([Produto capturado], "AliExpress", ""), "aliexpress", ""), "Choice", "")),</x:v>
      </x:c>
      <x:c r="E36" s="33" t="str">
        <x:v>        each Text.Trim(Text.Replace(Text.Replace(Text.Replace([Produto capturado], "AliExpress", ""), "aliexpress", ""), "Choice", "")),</x:v>
      </x:c>
      <x:c r="F36" s="33" t="str">
        <x:v>        each Text.Trim(Text.Replace(Text.Replace(Text.Replace([Produto capturado], "AliExpress", ""), "aliexpress", ""), "Choice", "")),</x:v>
      </x:c>
      <x:c r="G36" s="33" t="str">
        <x:v>        each Text.Trim(Text.Replace(Text.Replace(Text.Replace([Produto capturado], "AliExpress", ""), "aliexpress", ""), "Choice", "")),</x:v>
      </x:c>
      <x:c r="H36" s="33" t="str">
        <x:v>        each Text.Trim(Text.Replace(Text.Replace(Text.Replace([Produto capturado], "AliExpress", ""), "aliexpress", ""), "Choice", "")),</x:v>
      </x:c>
    </x:row>
    <x:row r="37" ht="14.25" customHeight="1">
      <x:c r="A37" s="33" t="str">
        <x:v>        type text</x:v>
      </x:c>
      <x:c r="B37" s="33" t="str">
        <x:v>        type text</x:v>
      </x:c>
      <x:c r="C37" s="33" t="str">
        <x:v>        type text</x:v>
      </x:c>
      <x:c r="D37" s="33" t="str">
        <x:v>        type text</x:v>
      </x:c>
      <x:c r="E37" s="33" t="str">
        <x:v>        type text</x:v>
      </x:c>
      <x:c r="F37" s="33" t="str">
        <x:v>        type text</x:v>
      </x:c>
      <x:c r="G37" s="33" t="str">
        <x:v>        type text</x:v>
      </x:c>
      <x:c r="H37" s="33" t="str">
        <x:v>        type text</x:v>
      </x:c>
    </x:row>
    <x:row r="38" ht="14.25" customHeight="1">
      <x:c r="A38" s="33" t="str">
        <x:v>    ),</x:v>
      </x:c>
      <x:c r="B38" s="33" t="str">
        <x:v>    ),</x:v>
      </x:c>
      <x:c r="C38" s="33" t="str">
        <x:v>    ),</x:v>
      </x:c>
      <x:c r="D38" s="33" t="str">
        <x:v>    ),</x:v>
      </x:c>
      <x:c r="E38" s="33" t="str">
        <x:v>    ),</x:v>
      </x:c>
      <x:c r="F38" s="33" t="str">
        <x:v>    ),</x:v>
      </x:c>
      <x:c r="G38" s="33" t="str">
        <x:v>    ),</x:v>
      </x:c>
      <x:c r="H38" s="33" t="str">
        <x:v>    ),</x:v>
      </x:c>
    </x:row>
    <x:row r="39" ht="14.25" customHeight="1">
      <x:c r="A39" s="33" t="str">
        <x:v>    StatusFoto = Table.AddColumn(</x:v>
      </x:c>
      <x:c r="B39" s="33" t="str">
        <x:v>    StatusFoto = Table.AddColumn(</x:v>
      </x:c>
      <x:c r="C39" s="33" t="str">
        <x:v>    StatusFoto = Table.AddColumn(</x:v>
      </x:c>
      <x:c r="D39" s="33" t="str">
        <x:v>    StatusFoto = Table.AddColumn(</x:v>
      </x:c>
      <x:c r="E39" s="33" t="str">
        <x:v>    StatusFoto = Table.AddColumn(</x:v>
      </x:c>
      <x:c r="F39" s="33" t="str">
        <x:v>    StatusFoto = Table.AddColumn(</x:v>
      </x:c>
      <x:c r="G39" s="33" t="str">
        <x:v>    StatusFoto = Table.AddColumn(</x:v>
      </x:c>
      <x:c r="H39" s="33" t="str">
        <x:v>    StatusFoto = Table.AddColumn(</x:v>
      </x:c>
    </x:row>
    <x:row r="40" ht="14.25" customHeight="1">
      <x:c r="A40" s="33" t="str">
        <x:v>        NomeLimpo,</x:v>
      </x:c>
      <x:c r="B40" s="33" t="str">
        <x:v>        NomeLimpo,</x:v>
      </x:c>
      <x:c r="C40" s="33" t="str">
        <x:v>        NomeLimpo,</x:v>
      </x:c>
      <x:c r="D40" s="33" t="str">
        <x:v>        NomeLimpo,</x:v>
      </x:c>
      <x:c r="E40" s="33" t="str">
        <x:v>        NomeLimpo,</x:v>
      </x:c>
      <x:c r="F40" s="33" t="str">
        <x:v>        NomeLimpo,</x:v>
      </x:c>
      <x:c r="G40" s="33" t="str">
        <x:v>        NomeLimpo,</x:v>
      </x:c>
      <x:c r="H40" s="33" t="str">
        <x:v>        NomeLimpo,</x:v>
      </x:c>
    </x:row>
    <x:row r="41" ht="14.25" customHeight="1">
      <x:c r="A41" s="33" t="str">
        <x:v>        "Status da foto",</x:v>
      </x:c>
      <x:c r="B41" s="33" t="str">
        <x:v>        "Status da foto",</x:v>
      </x:c>
      <x:c r="C41" s="33" t="str">
        <x:v>        "Status da foto",</x:v>
      </x:c>
      <x:c r="D41" s="33" t="str">
        <x:v>        "Status da foto",</x:v>
      </x:c>
      <x:c r="E41" s="33" t="str">
        <x:v>        "Status da foto",</x:v>
      </x:c>
      <x:c r="F41" s="33" t="str">
        <x:v>        "Status da foto",</x:v>
      </x:c>
      <x:c r="G41" s="33" t="str">
        <x:v>        "Status da foto",</x:v>
      </x:c>
      <x:c r="H41" s="33" t="str">
        <x:v>        "Status da foto",</x:v>
      </x:c>
    </x:row>
    <x:row r="42" ht="14.25" customHeight="1">
      <x:c r="A42" s="33" t="str">
        <x:v>        each if [Foto final] = null or [Foto final] = "" then "Sem foto" else if Text.Contains(Text.Lower([Foto final]), "logo") or Text.Contains(Text.Lower([Foto final]), "sprite") or Text.Contains(Text.Lower([Foto final]), "aliexpress") then "Revisar foto" else "OK",</x:v>
      </x:c>
      <x:c r="B42" s="33" t="str">
        <x:v>        each if [Foto final] = null or [Foto final] = "" then "Sem foto" else if Text.Contains(Text.Lower([Foto final]), "logo") or Text.Contains(Text.Lower([Foto final]), "sprite") or Text.Contains(Text.Lower([Foto final]), "aliexpress") then "Revisar foto" else "OK",</x:v>
      </x:c>
      <x:c r="C42" s="33" t="str">
        <x:v>        each if [Foto final] = null or [Foto final] = "" then "Sem foto" else if Text.Contains(Text.Lower([Foto final]), "logo") or Text.Contains(Text.Lower([Foto final]), "sprite") or Text.Contains(Text.Lower([Foto final]), "aliexpress") then "Revisar foto" else "OK",</x:v>
      </x:c>
      <x:c r="D42" s="33" t="str">
        <x:v>        each if [Foto final] = null or [Foto final] = "" then "Sem foto" else if Text.Contains(Text.Lower([Foto final]), "logo") or Text.Contains(Text.Lower([Foto final]), "sprite") or Text.Contains(Text.Lower([Foto final]), "aliexpress") then "Revisar foto" else "OK",</x:v>
      </x:c>
      <x:c r="E42" s="33" t="str">
        <x:v>        each if [Foto final] = null or [Foto final] = "" then "Sem foto" else if Text.Contains(Text.Lower([Foto final]), "logo") or Text.Contains(Text.Lower([Foto final]), "sprite") or Text.Contains(Text.Lower([Foto final]), "aliexpress") then "Revisar foto" else "OK",</x:v>
      </x:c>
      <x:c r="F42" s="33" t="str">
        <x:v>        each if [Foto final] = null or [Foto final] = "" then "Sem foto" else if Text.Contains(Text.Lower([Foto final]), "logo") or Text.Contains(Text.Lower([Foto final]), "sprite") or Text.Contains(Text.Lower([Foto final]), "aliexpress") then "Revisar foto" else "OK",</x:v>
      </x:c>
      <x:c r="G42" s="33" t="str">
        <x:v>        each if [Foto final] = null or [Foto final] = "" then "Sem foto" else if Text.Contains(Text.Lower([Foto final]), "logo") or Text.Contains(Text.Lower([Foto final]), "sprite") or Text.Contains(Text.Lower([Foto final]), "aliexpress") then "Revisar foto" else "OK",</x:v>
      </x:c>
      <x:c r="H42" s="33" t="str">
        <x:v>        each if [Foto final] = null or [Foto final] = "" then "Sem foto" else if Text.Contains(Text.Lower([Foto final]), "logo") or Text.Contains(Text.Lower([Foto final]), "sprite") or Text.Contains(Text.Lower([Foto final]), "aliexpress") then "Revisar foto" else "OK",</x:v>
      </x:c>
    </x:row>
    <x:row r="43" ht="14.25" customHeight="1">
      <x:c r="A43" s="33" t="str">
        <x:v>        type text</x:v>
      </x:c>
      <x:c r="B43" s="33" t="str">
        <x:v>        type text</x:v>
      </x:c>
      <x:c r="C43" s="33" t="str">
        <x:v>        type text</x:v>
      </x:c>
      <x:c r="D43" s="33" t="str">
        <x:v>        type text</x:v>
      </x:c>
      <x:c r="E43" s="33" t="str">
        <x:v>        type text</x:v>
      </x:c>
      <x:c r="F43" s="33" t="str">
        <x:v>        type text</x:v>
      </x:c>
      <x:c r="G43" s="33" t="str">
        <x:v>        type text</x:v>
      </x:c>
      <x:c r="H43" s="33" t="str">
        <x:v>        type text</x:v>
      </x:c>
    </x:row>
    <x:row r="44" ht="14.25" customHeight="1">
      <x:c r="A44" s="33" t="str">
        <x:v>    ),</x:v>
      </x:c>
      <x:c r="B44" s="33" t="str">
        <x:v>    ),</x:v>
      </x:c>
      <x:c r="C44" s="33" t="str">
        <x:v>    ),</x:v>
      </x:c>
      <x:c r="D44" s="33" t="str">
        <x:v>    ),</x:v>
      </x:c>
      <x:c r="E44" s="33" t="str">
        <x:v>    ),</x:v>
      </x:c>
      <x:c r="F44" s="33" t="str">
        <x:v>    ),</x:v>
      </x:c>
      <x:c r="G44" s="33" t="str">
        <x:v>    ),</x:v>
      </x:c>
      <x:c r="H44" s="33" t="str">
        <x:v>    ),</x:v>
      </x:c>
    </x:row>
    <x:row r="45" ht="14.25" customHeight="1">
      <x:c r="A45" s="33" t="str">
        <x:v>    TextoMarca = Table.AddColumn(</x:v>
      </x:c>
      <x:c r="B45" s="33" t="str">
        <x:v>    TextoMarca = Table.AddColumn(</x:v>
      </x:c>
      <x:c r="C45" s="33" t="str">
        <x:v>    TextoMarca = Table.AddColumn(</x:v>
      </x:c>
      <x:c r="D45" s="33" t="str">
        <x:v>    TextoMarca = Table.AddColumn(</x:v>
      </x:c>
      <x:c r="E45" s="33" t="str">
        <x:v>    TextoMarca = Table.AddColumn(</x:v>
      </x:c>
      <x:c r="F45" s="33" t="str">
        <x:v>    TextoMarca = Table.AddColumn(</x:v>
      </x:c>
      <x:c r="G45" s="33" t="str">
        <x:v>    TextoMarca = Table.AddColumn(</x:v>
      </x:c>
      <x:c r="H45" s="33" t="str">
        <x:v>    TextoMarca = Table.AddColumn(</x:v>
      </x:c>
    </x:row>
    <x:row r="46" ht="14.25" customHeight="1">
      <x:c r="A46" s="33" t="str">
        <x:v>        StatusFoto,</x:v>
      </x:c>
      <x:c r="B46" s="33" t="str">
        <x:v>        StatusFoto,</x:v>
      </x:c>
      <x:c r="C46" s="33" t="str">
        <x:v>        StatusFoto,</x:v>
      </x:c>
      <x:c r="D46" s="33" t="str">
        <x:v>        StatusFoto,</x:v>
      </x:c>
      <x:c r="E46" s="33" t="str">
        <x:v>        StatusFoto,</x:v>
      </x:c>
      <x:c r="F46" s="33" t="str">
        <x:v>        StatusFoto,</x:v>
      </x:c>
      <x:c r="G46" s="33" t="str">
        <x:v>        StatusFoto,</x:v>
      </x:c>
      <x:c r="H46" s="33" t="str">
        <x:v>        StatusFoto,</x:v>
      </x:c>
    </x:row>
    <x:row r="47" ht="14.25" customHeight="1">
      <x:c r="A47" s="33" t="str">
        <x:v>        "Texto com marca?",</x:v>
      </x:c>
      <x:c r="B47" s="33" t="str">
        <x:v>        "Texto com marca?",</x:v>
      </x:c>
      <x:c r="C47" s="33" t="str">
        <x:v>        "Texto com marca?",</x:v>
      </x:c>
      <x:c r="D47" s="33" t="str">
        <x:v>        "Texto com marca?",</x:v>
      </x:c>
      <x:c r="E47" s="33" t="str">
        <x:v>        "Texto com marca?",</x:v>
      </x:c>
      <x:c r="F47" s="33" t="str">
        <x:v>        "Texto com marca?",</x:v>
      </x:c>
      <x:c r="G47" s="33" t="str">
        <x:v>        "Texto com marca?",</x:v>
      </x:c>
      <x:c r="H47" s="33" t="str">
        <x:v>        "Texto com marca?",</x:v>
      </x:c>
    </x:row>
    <x:row r="48" ht="14.25" customHeight="1">
      <x:c r="A48" s="33" t="str">
        <x:v>        each if Text.Contains(Text.Lower([Produto capturado]), "aliexpress") then "Revisar mencao" else "OK",</x:v>
      </x:c>
      <x:c r="B48" s="33" t="str">
        <x:v>        each if Text.Contains(Text.Lower([Produto capturado]), "aliexpress") then "Revisar mencao" else "OK",</x:v>
      </x:c>
      <x:c r="C48" s="33" t="str">
        <x:v>        each if Text.Contains(Text.Lower([Produto capturado]), "aliexpress") then "Revisar mencao" else "OK",</x:v>
      </x:c>
      <x:c r="D48" s="33" t="str">
        <x:v>        each if Text.Contains(Text.Lower([Produto capturado]), "aliexpress") then "Revisar mencao" else "OK",</x:v>
      </x:c>
      <x:c r="E48" s="33" t="str">
        <x:v>        each if Text.Contains(Text.Lower([Produto capturado]), "aliexpress") then "Revisar mencao" else "OK",</x:v>
      </x:c>
      <x:c r="F48" s="33" t="str">
        <x:v>        each if Text.Contains(Text.Lower([Produto capturado]), "aliexpress") then "Revisar mencao" else "OK",</x:v>
      </x:c>
      <x:c r="G48" s="33" t="str">
        <x:v>        each if Text.Contains(Text.Lower([Produto capturado]), "aliexpress") then "Revisar mencao" else "OK",</x:v>
      </x:c>
      <x:c r="H48" s="33" t="str">
        <x:v>        each if Text.Contains(Text.Lower([Produto capturado]), "aliexpress") then "Revisar mencao" else "OK",</x:v>
      </x:c>
    </x:row>
    <x:row r="49" ht="14.25" customHeight="1">
      <x:c r="A49" s="33" t="str">
        <x:v>        type text</x:v>
      </x:c>
      <x:c r="B49" s="33" t="str">
        <x:v>        type text</x:v>
      </x:c>
      <x:c r="C49" s="33" t="str">
        <x:v>        type text</x:v>
      </x:c>
      <x:c r="D49" s="33" t="str">
        <x:v>        type text</x:v>
      </x:c>
      <x:c r="E49" s="33" t="str">
        <x:v>        type text</x:v>
      </x:c>
      <x:c r="F49" s="33" t="str">
        <x:v>        type text</x:v>
      </x:c>
      <x:c r="G49" s="33" t="str">
        <x:v>        type text</x:v>
      </x:c>
      <x:c r="H49" s="33" t="str">
        <x:v>        type text</x:v>
      </x:c>
    </x:row>
    <x:row r="50" ht="14.25" customHeight="1">
      <x:c r="A50" s="33" t="str">
        <x:v>    ),</x:v>
      </x:c>
      <x:c r="B50" s="33" t="str">
        <x:v>    ),</x:v>
      </x:c>
      <x:c r="C50" s="33" t="str">
        <x:v>    ),</x:v>
      </x:c>
      <x:c r="D50" s="33" t="str">
        <x:v>    ),</x:v>
      </x:c>
      <x:c r="E50" s="33" t="str">
        <x:v>    ),</x:v>
      </x:c>
      <x:c r="F50" s="33" t="str">
        <x:v>    ),</x:v>
      </x:c>
      <x:c r="G50" s="33" t="str">
        <x:v>    ),</x:v>
      </x:c>
      <x:c r="H50" s="33" t="str">
        <x:v>    ),</x:v>
      </x:c>
    </x:row>
    <x:row r="51" ht="14.25" customHeight="1">
      <x:c r="A51" s="33" t="str">
        <x:v>    Saida = Table.SelectColumns(TextoMarca, {"Produto capturado", "Nome limpo site", "Link Produto", "Foto final", "Status da foto", "Preco bruto", "Texto com marca?"}),</x:v>
      </x:c>
      <x:c r="B51" s="33" t="str">
        <x:v>    Saida = Table.SelectColumns(TextoMarca, {"Produto capturado", "Nome limpo site", "Link Produto", "Foto final", "Status da foto", "Preco bruto", "Texto com marca?"}),</x:v>
      </x:c>
      <x:c r="C51" s="33" t="str">
        <x:v>    Saida = Table.SelectColumns(TextoMarca, {"Produto capturado", "Nome limpo site", "Link Produto", "Foto final", "Status da foto", "Preco bruto", "Texto com marca?"}),</x:v>
      </x:c>
      <x:c r="D51" s="33" t="str">
        <x:v>    Saida = Table.SelectColumns(TextoMarca, {"Produto capturado", "Nome limpo site", "Link Produto", "Foto final", "Status da foto", "Preco bruto", "Texto com marca?"}),</x:v>
      </x:c>
      <x:c r="E51" s="33" t="str">
        <x:v>    Saida = Table.SelectColumns(TextoMarca, {"Produto capturado", "Nome limpo site", "Link Produto", "Foto final", "Status da foto", "Preco bruto", "Texto com marca?"}),</x:v>
      </x:c>
      <x:c r="F51" s="33" t="str">
        <x:v>    Saida = Table.SelectColumns(TextoMarca, {"Produto capturado", "Nome limpo site", "Link Produto", "Foto final", "Status da foto", "Preco bruto", "Texto com marca?"}),</x:v>
      </x:c>
      <x:c r="G51" s="33" t="str">
        <x:v>    Saida = Table.SelectColumns(TextoMarca, {"Produto capturado", "Nome limpo site", "Link Produto", "Foto final", "Status da foto", "Preco bruto", "Texto com marca?"}),</x:v>
      </x:c>
      <x:c r="H51" s="33" t="str">
        <x:v>    Saida = Table.SelectColumns(TextoMarca, {"Produto capturado", "Nome limpo site", "Link Produto", "Foto final", "Status da foto", "Preco bruto", "Texto com marca?"}),</x:v>
      </x:c>
    </x:row>
    <x:row r="52" ht="14.25" customHeight="1">
      <x:c r="A52" s="33" t="str">
        <x:v>    Renomeado = Table.RenameColumns(Saida, {{"Foto final", "Foto URL"}})</x:v>
      </x:c>
      <x:c r="B52" s="33" t="str">
        <x:v>    Renomeado = Table.RenameColumns(Saida, {{"Foto final", "Foto URL"}})</x:v>
      </x:c>
      <x:c r="C52" s="33" t="str">
        <x:v>    Renomeado = Table.RenameColumns(Saida, {{"Foto final", "Foto URL"}})</x:v>
      </x:c>
      <x:c r="D52" s="33" t="str">
        <x:v>    Renomeado = Table.RenameColumns(Saida, {{"Foto final", "Foto URL"}})</x:v>
      </x:c>
      <x:c r="E52" s="33" t="str">
        <x:v>    Renomeado = Table.RenameColumns(Saida, {{"Foto final", "Foto URL"}})</x:v>
      </x:c>
      <x:c r="F52" s="33" t="str">
        <x:v>    Renomeado = Table.RenameColumns(Saida, {{"Foto final", "Foto URL"}})</x:v>
      </x:c>
      <x:c r="G52" s="33" t="str">
        <x:v>    Renomeado = Table.RenameColumns(Saida, {{"Foto final", "Foto URL"}})</x:v>
      </x:c>
      <x:c r="H52" s="33" t="str">
        <x:v>    Renomeado = Table.RenameColumns(Saida, {{"Foto final", "Foto URL"}})</x:v>
      </x:c>
    </x:row>
    <x:row r="53" ht="14.25" customHeight="1">
      <x:c r="A53" s="33" t="str">
        <x:v>in</x:v>
      </x:c>
      <x:c r="B53" s="33" t="str">
        <x:v>in</x:v>
      </x:c>
      <x:c r="C53" s="33" t="str">
        <x:v>in</x:v>
      </x:c>
      <x:c r="D53" s="33" t="str">
        <x:v>in</x:v>
      </x:c>
      <x:c r="E53" s="33" t="str">
        <x:v>in</x:v>
      </x:c>
      <x:c r="F53" s="33" t="str">
        <x:v>in</x:v>
      </x:c>
      <x:c r="G53" s="33" t="str">
        <x:v>in</x:v>
      </x:c>
      <x:c r="H53" s="33" t="str">
        <x:v>in</x:v>
      </x:c>
    </x:row>
    <x:row r="54" ht="14.25" customHeight="1">
      <x:c r="A54" s="33" t="str">
        <x:v>    Renomeado</x:v>
      </x:c>
      <x:c r="B54" s="33" t="str">
        <x:v>    Renomeado</x:v>
      </x:c>
      <x:c r="C54" s="33" t="str">
        <x:v>    Renomeado</x:v>
      </x:c>
      <x:c r="D54" s="33" t="str">
        <x:v>    Renomeado</x:v>
      </x:c>
      <x:c r="E54" s="33" t="str">
        <x:v>    Renomeado</x:v>
      </x:c>
      <x:c r="F54" s="33" t="str">
        <x:v>    Renomeado</x:v>
      </x:c>
      <x:c r="G54" s="33" t="str">
        <x:v>    Renomeado</x:v>
      </x:c>
      <x:c r="H54" s="33" t="str">
        <x:v>    Renomeado</x:v>
      </x:c>
    </x:row>
    <x:row r="55">
      <x:c r="A55" s="27"/>
      <x:c r="B55" s="27"/>
      <x:c r="C55" s="27"/>
      <x:c r="D55" s="27"/>
      <x:c r="E55" s="27"/>
      <x:c r="F55" s="27"/>
      <x:c r="G55" s="27"/>
      <x:c r="H55" s="27"/>
    </x:row>
    <x:row r="56">
      <x:c r="A56" s="27"/>
      <x:c r="B56" s="27"/>
      <x:c r="C56" s="27"/>
      <x:c r="D56" s="27"/>
      <x:c r="E56" s="27"/>
      <x:c r="F56" s="27"/>
      <x:c r="G56" s="27"/>
      <x:c r="H56" s="27"/>
    </x:row>
    <x:row r="57">
      <x:c r="A57" s="8" t="str">
        <x:v>Macro opcional para lembrar a atualizacao</x:v>
      </x:c>
      <x:c r="B57" s="8" t="str">
        <x:v>Macro opcional para lembrar a atualizacao</x:v>
      </x:c>
      <x:c r="C57" s="8" t="str">
        <x:v>Macro opcional para lembrar a atualizacao</x:v>
      </x:c>
      <x:c r="D57" s="8" t="str">
        <x:v>Macro opcional para lembrar a atualizacao</x:v>
      </x:c>
      <x:c r="E57" s="8" t="str">
        <x:v>Macro opcional para lembrar a atualizacao</x:v>
      </x:c>
      <x:c r="F57" s="8" t="str">
        <x:v>Macro opcional para lembrar a atualizacao</x:v>
      </x:c>
      <x:c r="G57" s="8" t="str">
        <x:v>Macro opcional para lembrar a atualizacao</x:v>
      </x:c>
      <x:c r="H57" s="8" t="str">
        <x:v>Macro opcional para lembrar a atualizacao</x:v>
      </x:c>
    </x:row>
    <x:row r="58">
      <x:c r="A58" s="25" t="str">
        <x:v>Sub AtualizarProdutosAliExpress()
    MsgBox "Abra Dados &gt; Consultas e Conexoes e atualize a consulta criada com o codigo Power Query da aba Automacao.", vbInformation
End Sub</x:v>
      </x:c>
      <x:c r="B58" s="25" t="str">
        <x:v>Sub AtualizarProdutosAliExpress()
    MsgBox "Abra Dados &gt; Consultas e Conexoes e atualize a consulta criada com o codigo Power Query da aba Automacao.", vbInformation
End Sub</x:v>
      </x:c>
      <x:c r="C58" s="25" t="str">
        <x:v>Sub AtualizarProdutosAliExpress()
    MsgBox "Abra Dados &gt; Consultas e Conexoes e atualize a consulta criada com o codigo Power Query da aba Automacao.", vbInformation
End Sub</x:v>
      </x:c>
      <x:c r="D58" s="25" t="str">
        <x:v>Sub AtualizarProdutosAliExpress()
    MsgBox "Abra Dados &gt; Consultas e Conexoes e atualize a consulta criada com o codigo Power Query da aba Automacao.", vbInformation
End Sub</x:v>
      </x:c>
      <x:c r="E58" s="25" t="str">
        <x:v>Sub AtualizarProdutosAliExpress()
    MsgBox "Abra Dados &gt; Consultas e Conexoes e atualize a consulta criada com o codigo Power Query da aba Automacao.", vbInformation
End Sub</x:v>
      </x:c>
      <x:c r="F58" s="25" t="str">
        <x:v>Sub AtualizarProdutosAliExpress()
    MsgBox "Abra Dados &gt; Consultas e Conexoes e atualize a consulta criada com o codigo Power Query da aba Automacao.", vbInformation
End Sub</x:v>
      </x:c>
      <x:c r="G58" s="25" t="str">
        <x:v>Sub AtualizarProdutosAliExpress()
    MsgBox "Abra Dados &gt; Consultas e Conexoes e atualize a consulta criada com o codigo Power Query da aba Automacao.", vbInformation
End Sub</x:v>
      </x:c>
      <x:c r="H58" s="25" t="str">
        <x:v>Sub AtualizarProdutosAliExpress()
    MsgBox "Abra Dados &gt; Consultas e Conexoes e atualize a consulta criada com o codigo Power Query da aba Automacao.", vbInformation
End Sub</x:v>
      </x:c>
    </x:row>
    <x:row r="59">
      <x:c r="A59" s="25" t="str">
        <x:v>Sub AtualizarProdutosAliExpress()
    MsgBox "Abra Dados &gt; Consultas e Conexoes e atualize a consulta criada com o codigo Power Query da aba Automacao.", vbInformation
End Sub</x:v>
      </x:c>
      <x:c r="B59" s="25" t="str">
        <x:v>Sub AtualizarProdutosAliExpress()
    MsgBox "Abra Dados &gt; Consultas e Conexoes e atualize a consulta criada com o codigo Power Query da aba Automacao.", vbInformation
End Sub</x:v>
      </x:c>
      <x:c r="C59" s="25" t="str">
        <x:v>Sub AtualizarProdutosAliExpress()
    MsgBox "Abra Dados &gt; Consultas e Conexoes e atualize a consulta criada com o codigo Power Query da aba Automacao.", vbInformation
End Sub</x:v>
      </x:c>
      <x:c r="D59" s="25" t="str">
        <x:v>Sub AtualizarProdutosAliExpress()
    MsgBox "Abra Dados &gt; Consultas e Conexoes e atualize a consulta criada com o codigo Power Query da aba Automacao.", vbInformation
End Sub</x:v>
      </x:c>
      <x:c r="E59" s="25" t="str">
        <x:v>Sub AtualizarProdutosAliExpress()
    MsgBox "Abra Dados &gt; Consultas e Conexoes e atualize a consulta criada com o codigo Power Query da aba Automacao.", vbInformation
End Sub</x:v>
      </x:c>
      <x:c r="F59" s="25" t="str">
        <x:v>Sub AtualizarProdutosAliExpress()
    MsgBox "Abra Dados &gt; Consultas e Conexoes e atualize a consulta criada com o codigo Power Query da aba Automacao.", vbInformation
End Sub</x:v>
      </x:c>
      <x:c r="G59" s="25" t="str">
        <x:v>Sub AtualizarProdutosAliExpress()
    MsgBox "Abra Dados &gt; Consultas e Conexoes e atualize a consulta criada com o codigo Power Query da aba Automacao.", vbInformation
End Sub</x:v>
      </x:c>
      <x:c r="H59" s="25" t="str">
        <x:v>Sub AtualizarProdutosAliExpress()
    MsgBox "Abra Dados &gt; Consultas e Conexoes e atualize a consulta criada com o codigo Power Query da aba Automacao.", vbInformation
End Sub</x:v>
      </x:c>
    </x:row>
    <x:row r="60">
      <x:c r="A60" s="25" t="str">
        <x:v>Sub AtualizarProdutosAliExpress()
    MsgBox "Abra Dados &gt; Consultas e Conexoes e atualize a consulta criada com o codigo Power Query da aba Automacao.", vbInformation
End Sub</x:v>
      </x:c>
      <x:c r="B60" s="25" t="str">
        <x:v>Sub AtualizarProdutosAliExpress()
    MsgBox "Abra Dados &gt; Consultas e Conexoes e atualize a consulta criada com o codigo Power Query da aba Automacao.", vbInformation
End Sub</x:v>
      </x:c>
      <x:c r="C60" s="25" t="str">
        <x:v>Sub AtualizarProdutosAliExpress()
    MsgBox "Abra Dados &gt; Consultas e Conexoes e atualize a consulta criada com o codigo Power Query da aba Automacao.", vbInformation
End Sub</x:v>
      </x:c>
      <x:c r="D60" s="25" t="str">
        <x:v>Sub AtualizarProdutosAliExpress()
    MsgBox "Abra Dados &gt; Consultas e Conexoes e atualize a consulta criada com o codigo Power Query da aba Automacao.", vbInformation
End Sub</x:v>
      </x:c>
      <x:c r="E60" s="25" t="str">
        <x:v>Sub AtualizarProdutosAliExpress()
    MsgBox "Abra Dados &gt; Consultas e Conexoes e atualize a consulta criada com o codigo Power Query da aba Automacao.", vbInformation
End Sub</x:v>
      </x:c>
      <x:c r="F60" s="25" t="str">
        <x:v>Sub AtualizarProdutosAliExpress()
    MsgBox "Abra Dados &gt; Consultas e Conexoes e atualize a consulta criada com o codigo Power Query da aba Automacao.", vbInformation
End Sub</x:v>
      </x:c>
      <x:c r="G60" s="25" t="str">
        <x:v>Sub AtualizarProdutosAliExpress()
    MsgBox "Abra Dados &gt; Consultas e Conexoes e atualize a consulta criada com o codigo Power Query da aba Automacao.", vbInformation
End Sub</x:v>
      </x:c>
      <x:c r="H60" s="25" t="str">
        <x:v>Sub AtualizarProdutosAliExpress()
    MsgBox "Abra Dados &gt; Consultas e Conexoes e atualize a consulta criada com o codigo Power Query da aba Automacao.", vbInformation
End Sub</x:v>
      </x:c>
    </x:row>
    <x:row r="61">
      <x:c r="A61" s="25" t="str">
        <x:v>Sub AtualizarProdutosAliExpress()
    MsgBox "Abra Dados &gt; Consultas e Conexoes e atualize a consulta criada com o codigo Power Query da aba Automacao.", vbInformation
End Sub</x:v>
      </x:c>
      <x:c r="B61" s="25" t="str">
        <x:v>Sub AtualizarProdutosAliExpress()
    MsgBox "Abra Dados &gt; Consultas e Conexoes e atualize a consulta criada com o codigo Power Query da aba Automacao.", vbInformation
End Sub</x:v>
      </x:c>
      <x:c r="C61" s="25" t="str">
        <x:v>Sub AtualizarProdutosAliExpress()
    MsgBox "Abra Dados &gt; Consultas e Conexoes e atualize a consulta criada com o codigo Power Query da aba Automacao.", vbInformation
End Sub</x:v>
      </x:c>
      <x:c r="D61" s="25" t="str">
        <x:v>Sub AtualizarProdutosAliExpress()
    MsgBox "Abra Dados &gt; Consultas e Conexoes e atualize a consulta criada com o codigo Power Query da aba Automacao.", vbInformation
End Sub</x:v>
      </x:c>
      <x:c r="E61" s="25" t="str">
        <x:v>Sub AtualizarProdutosAliExpress()
    MsgBox "Abra Dados &gt; Consultas e Conexoes e atualize a consulta criada com o codigo Power Query da aba Automacao.", vbInformation
End Sub</x:v>
      </x:c>
      <x:c r="F61" s="25" t="str">
        <x:v>Sub AtualizarProdutosAliExpress()
    MsgBox "Abra Dados &gt; Consultas e Conexoes e atualize a consulta criada com o codigo Power Query da aba Automacao.", vbInformation
End Sub</x:v>
      </x:c>
      <x:c r="G61" s="25" t="str">
        <x:v>Sub AtualizarProdutosAliExpress()
    MsgBox "Abra Dados &gt; Consultas e Conexoes e atualize a consulta criada com o codigo Power Query da aba Automacao.", vbInformation
End Sub</x:v>
      </x:c>
      <x:c r="H61" s="25" t="str">
        <x:v>Sub AtualizarProdutosAliExpress()
    MsgBox "Abra Dados &gt; Consultas e Conexoes e atualize a consulta criada com o codigo Power Query da aba Automacao.", vbInformation
End Sub</x:v>
      </x:c>
    </x:row>
    <x:row r="62">
      <x:c r="A62" s="25" t="str">
        <x:v>Sub AtualizarProdutosAliExpress()
    MsgBox "Abra Dados &gt; Consultas e Conexoes e atualize a consulta criada com o codigo Power Query da aba Automacao.", vbInformation
End Sub</x:v>
      </x:c>
      <x:c r="B62" s="25" t="str">
        <x:v>Sub AtualizarProdutosAliExpress()
    MsgBox "Abra Dados &gt; Consultas e Conexoes e atualize a consulta criada com o codigo Power Query da aba Automacao.", vbInformation
End Sub</x:v>
      </x:c>
      <x:c r="C62" s="25" t="str">
        <x:v>Sub AtualizarProdutosAliExpress()
    MsgBox "Abra Dados &gt; Consultas e Conexoes e atualize a consulta criada com o codigo Power Query da aba Automacao.", vbInformation
End Sub</x:v>
      </x:c>
      <x:c r="D62" s="25" t="str">
        <x:v>Sub AtualizarProdutosAliExpress()
    MsgBox "Abra Dados &gt; Consultas e Conexoes e atualize a consulta criada com o codigo Power Query da aba Automacao.", vbInformation
End Sub</x:v>
      </x:c>
      <x:c r="E62" s="25" t="str">
        <x:v>Sub AtualizarProdutosAliExpress()
    MsgBox "Abra Dados &gt; Consultas e Conexoes e atualize a consulta criada com o codigo Power Query da aba Automacao.", vbInformation
End Sub</x:v>
      </x:c>
      <x:c r="F62" s="25" t="str">
        <x:v>Sub AtualizarProdutosAliExpress()
    MsgBox "Abra Dados &gt; Consultas e Conexoes e atualize a consulta criada com o codigo Power Query da aba Automacao.", vbInformation
End Sub</x:v>
      </x:c>
      <x:c r="G62" s="25" t="str">
        <x:v>Sub AtualizarProdutosAliExpress()
    MsgBox "Abra Dados &gt; Consultas e Conexoes e atualize a consulta criada com o codigo Power Query da aba Automacao.", vbInformation
End Sub</x:v>
      </x:c>
      <x:c r="H62" s="25" t="str">
        <x:v>Sub AtualizarProdutosAliExpress()
    MsgBox "Abra Dados &gt; Consultas e Conexoes e atualize a consulta criada com o codigo Power Query da aba Automacao.", vbInformation
End Sub</x:v>
      </x:c>
    </x:row>
    <x:row r="63">
      <x:c r="A63" s="25" t="str">
        <x:v>Sub AtualizarProdutosAliExpress()
    MsgBox "Abra Dados &gt; Consultas e Conexoes e atualize a consulta criada com o codigo Power Query da aba Automacao.", vbInformation
End Sub</x:v>
      </x:c>
      <x:c r="B63" s="25" t="str">
        <x:v>Sub AtualizarProdutosAliExpress()
    MsgBox "Abra Dados &gt; Consultas e Conexoes e atualize a consulta criada com o codigo Power Query da aba Automacao.", vbInformation
End Sub</x:v>
      </x:c>
      <x:c r="C63" s="25" t="str">
        <x:v>Sub AtualizarProdutosAliExpress()
    MsgBox "Abra Dados &gt; Consultas e Conexoes e atualize a consulta criada com o codigo Power Query da aba Automacao.", vbInformation
End Sub</x:v>
      </x:c>
      <x:c r="D63" s="25" t="str">
        <x:v>Sub AtualizarProdutosAliExpress()
    MsgBox "Abra Dados &gt; Consultas e Conexoes e atualize a consulta criada com o codigo Power Query da aba Automacao.", vbInformation
End Sub</x:v>
      </x:c>
      <x:c r="E63" s="25" t="str">
        <x:v>Sub AtualizarProdutosAliExpress()
    MsgBox "Abra Dados &gt; Consultas e Conexoes e atualize a consulta criada com o codigo Power Query da aba Automacao.", vbInformation
End Sub</x:v>
      </x:c>
      <x:c r="F63" s="25" t="str">
        <x:v>Sub AtualizarProdutosAliExpress()
    MsgBox "Abra Dados &gt; Consultas e Conexoes e atualize a consulta criada com o codigo Power Query da aba Automacao.", vbInformation
End Sub</x:v>
      </x:c>
      <x:c r="G63" s="25" t="str">
        <x:v>Sub AtualizarProdutosAliExpress()
    MsgBox "Abra Dados &gt; Consultas e Conexoes e atualize a consulta criada com o codigo Power Query da aba Automacao.", vbInformation
End Sub</x:v>
      </x:c>
      <x:c r="H63" s="25" t="str">
        <x:v>Sub AtualizarProdutosAliExpress()
    MsgBox "Abra Dados &gt; Consultas e Conexoes e atualize a consulta criada com o codigo Power Query da aba Automacao.", vbInformation
End Sub</x:v>
      </x:c>
    </x:row>
    <x:row r="64">
      <x:c r="A64" s="27"/>
      <x:c r="B64" s="27"/>
      <x:c r="C64" s="27"/>
      <x:c r="D64" s="27"/>
      <x:c r="E64" s="27"/>
      <x:c r="F64" s="27"/>
      <x:c r="G64" s="27"/>
      <x:c r="H64" s="27"/>
    </x:row>
    <x:row r="65">
      <x:c r="A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65"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row r="66">
      <x:c r="A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66"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row r="67">
      <x:c r="A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67"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row r="68">
      <x:c r="A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68"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row r="69">
      <x:c r="A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69"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row r="70">
      <x:c r="A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B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C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D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E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F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G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c r="H70" s="5" t="str">
        <x:v>Passos no Excel:
1. Copie o codigo Power Query acima.
2. Va em Dados &gt; Obter Dados &gt; De Outras Fontes &gt; Consulta em Branco.
3. Abra Editor Avancado, cole o codigo e clique em Concluido.
4. Carregue como tabela em uma nova aba, depois copie as linhas boas para Produtos.
5. Se vier vazio, troque Config!B4 por uma URL de busca da aba Buscas AliExpress.</x:v>
      </x:c>
    </x:row>
  </x:sheetData>
  <x:mergeCells>
    <x:mergeCell ref="A1:H1"/>
    <x:mergeCell ref="A3:H5"/>
    <x:mergeCell ref="A7:H7"/>
    <x:mergeCell ref="A8:H8"/>
    <x:mergeCell ref="A9:H9"/>
    <x:mergeCell ref="A10:H10"/>
    <x:mergeCell ref="A11:H11"/>
    <x:mergeCell ref="A12:H12"/>
    <x:mergeCell ref="A13:H13"/>
    <x:mergeCell ref="A14:H14"/>
    <x:mergeCell ref="A15:H15"/>
    <x:mergeCell ref="A16:H16"/>
    <x:mergeCell ref="A17:H17"/>
    <x:mergeCell ref="A18:H18"/>
    <x:mergeCell ref="A19:H19"/>
    <x:mergeCell ref="A20:H20"/>
    <x:mergeCell ref="A21:H21"/>
    <x:mergeCell ref="A22:H22"/>
    <x:mergeCell ref="A23:H23"/>
    <x:mergeCell ref="A24:H24"/>
    <x:mergeCell ref="A25:H25"/>
    <x:mergeCell ref="A26:H26"/>
    <x:mergeCell ref="A27:H27"/>
    <x:mergeCell ref="A28:H28"/>
    <x:mergeCell ref="A29:H29"/>
    <x:mergeCell ref="A30:H30"/>
    <x:mergeCell ref="A31:H31"/>
    <x:mergeCell ref="A32:H32"/>
    <x:mergeCell ref="A33:H33"/>
    <x:mergeCell ref="A34:H34"/>
    <x:mergeCell ref="A35:H35"/>
    <x:mergeCell ref="A36:H36"/>
    <x:mergeCell ref="A37:H37"/>
    <x:mergeCell ref="A38:H38"/>
    <x:mergeCell ref="A39:H39"/>
    <x:mergeCell ref="A40:H40"/>
    <x:mergeCell ref="A41:H41"/>
    <x:mergeCell ref="A42:H42"/>
    <x:mergeCell ref="A43:H43"/>
    <x:mergeCell ref="A44:H44"/>
    <x:mergeCell ref="A45:H45"/>
    <x:mergeCell ref="A46:H46"/>
    <x:mergeCell ref="A47:H47"/>
    <x:mergeCell ref="A48:H48"/>
    <x:mergeCell ref="A49:H49"/>
    <x:mergeCell ref="A50:H50"/>
    <x:mergeCell ref="A51:H51"/>
    <x:mergeCell ref="A52:H52"/>
    <x:mergeCell ref="A53:H53"/>
    <x:mergeCell ref="A54:H54"/>
    <x:mergeCell ref="A57:H57"/>
    <x:mergeCell ref="A58:H63"/>
    <x:mergeCell ref="A65:H70"/>
  </x:mergeCells>
  <x:pageMargins left="0.7" right="0.7" top="0.75" bottom="0.75" header="0.3" footer="0.3"/>
</x:worksheet>
</file>